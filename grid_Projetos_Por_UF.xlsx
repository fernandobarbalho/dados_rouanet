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barb\Downloads\"/>
    </mc:Choice>
  </mc:AlternateContent>
  <xr:revisionPtr revIDLastSave="0" documentId="13_ncr:1_{EFB6548F-01CC-465D-8BCC-B960FD61C3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dinâmica" sheetId="3" r:id="rId1"/>
    <sheet name="Resumo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4" i="3"/>
  <c r="B179" i="1"/>
  <c r="C179" i="1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5" i="3"/>
  <c r="E4" i="3"/>
</calcChain>
</file>

<file path=xl/sharedStrings.xml><?xml version="1.0" encoding="utf-8"?>
<sst xmlns="http://schemas.openxmlformats.org/spreadsheetml/2006/main" count="391" uniqueCount="44">
  <si>
    <t>Qtde</t>
  </si>
  <si>
    <t>Vl.Captado</t>
  </si>
  <si>
    <t>Artes Cênicas</t>
  </si>
  <si>
    <t xml:space="preserve">   Acre</t>
  </si>
  <si>
    <t xml:space="preserve">   Alagoas</t>
  </si>
  <si>
    <t xml:space="preserve">   Amapá</t>
  </si>
  <si>
    <t xml:space="preserve">   Amazonas</t>
  </si>
  <si>
    <t xml:space="preserve">   Bahia</t>
  </si>
  <si>
    <t xml:space="preserve">   Ceará</t>
  </si>
  <si>
    <t xml:space="preserve">   Distrito Federal</t>
  </si>
  <si>
    <t xml:space="preserve">   Espírito Santo</t>
  </si>
  <si>
    <t xml:space="preserve">   Goiás</t>
  </si>
  <si>
    <t xml:space="preserve">   Maranhão</t>
  </si>
  <si>
    <t xml:space="preserve">   Mato Grosso</t>
  </si>
  <si>
    <t xml:space="preserve">   Mato Grosso do Sul</t>
  </si>
  <si>
    <t xml:space="preserve">   Minas Gerais</t>
  </si>
  <si>
    <t xml:space="preserve">   Paraná</t>
  </si>
  <si>
    <t xml:space="preserve">   Paraíba</t>
  </si>
  <si>
    <t xml:space="preserve">   Pará</t>
  </si>
  <si>
    <t xml:space="preserve">   Pernambuco</t>
  </si>
  <si>
    <t xml:space="preserve">   Piauí</t>
  </si>
  <si>
    <t xml:space="preserve">   Rio Grande do Norte</t>
  </si>
  <si>
    <t xml:space="preserve">   Rio Grande do Sul</t>
  </si>
  <si>
    <t xml:space="preserve">   Rio de Janeiro</t>
  </si>
  <si>
    <t xml:space="preserve">   Rondônia</t>
  </si>
  <si>
    <t xml:space="preserve">   Roraima</t>
  </si>
  <si>
    <t xml:space="preserve">   Santa Catarina</t>
  </si>
  <si>
    <t xml:space="preserve">   Sergipe</t>
  </si>
  <si>
    <t xml:space="preserve">   São Paulo</t>
  </si>
  <si>
    <t xml:space="preserve">   Tocantins</t>
  </si>
  <si>
    <t>Artes Visuais</t>
  </si>
  <si>
    <t>Audiovisual</t>
  </si>
  <si>
    <t>Humanidades</t>
  </si>
  <si>
    <t>Museus e Memória</t>
  </si>
  <si>
    <t>Música</t>
  </si>
  <si>
    <t>Patrimônio Cultural</t>
  </si>
  <si>
    <t>Total Geral</t>
  </si>
  <si>
    <t>área</t>
  </si>
  <si>
    <t>UF</t>
  </si>
  <si>
    <t>Rótulos de Linha</t>
  </si>
  <si>
    <t>Soma de Qtde</t>
  </si>
  <si>
    <t>Soma de Vl.Captado</t>
  </si>
  <si>
    <t>valor acumulado</t>
  </si>
  <si>
    <t>valor filme bolsonaro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</si>
</sst>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3" fontId="0" fillId="0" borderId="2" xfId="0" applyNumberFormat="1" applyBorder="1"/>
    <xf numFmtId="4" fontId="0" fillId="0" borderId="5" xfId="0" applyNumberFormat="1" applyBorder="1"/>
    <xf numFmtId="3" fontId="0" fillId="0" borderId="3" xfId="0" applyNumberFormat="1" applyBorder="1"/>
    <xf numFmtId="4" fontId="0" fillId="0" borderId="6" xfId="0" applyNumberFormat="1" applyBorder="1"/>
    <xf numFmtId="43" fontId="0" fillId="0" borderId="0" xfId="1" applyFont="1"/>
    <xf numFmtId="3" fontId="0" fillId="2" borderId="1" xfId="0" applyNumberFormat="1" applyFill="1" applyBorder="1"/>
    <xf numFmtId="4" fontId="0" fillId="2" borderId="4" xfId="0" applyNumberFormat="1" applyFill="1" applyBorder="1"/>
    <xf numFmtId="43" fontId="0" fillId="2" borderId="0" xfId="1" applyFont="1" applyFill="1"/>
    <xf numFmtId="3" fontId="0" fillId="2" borderId="2" xfId="0" applyNumberFormat="1" applyFill="1" applyBorder="1"/>
    <xf numFmtId="4" fontId="0" fillId="2" borderId="5" xfId="0" applyNumberFormat="1" applyFill="1" applyBorder="1"/>
  </cellXfs>
  <cellStyles count="2">
    <cellStyle name="Normal" xfId="0" builtinId="0"/>
    <cellStyle name="Vírgula" xfId="1" builtinId="3"/>
  </cellStyles>
  <dxfs count="1">
    <dxf>
      <fill>
        <patternFill patternType="solid"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Barbalho" refreshedDate="46156.741720486112" createdVersion="8" refreshedVersion="8" minRefreshableVersion="3" recordCount="177" xr:uid="{D27DC4C9-185C-4D16-B60A-1E580325B8BE}">
  <cacheSource type="worksheet">
    <worksheetSource ref="A1:D178" sheet="Resumo"/>
  </cacheSource>
  <cacheFields count="4">
    <cacheField name="UF" numFmtId="0">
      <sharedItems count="27">
        <s v="   Acre"/>
        <s v="   Alagoas"/>
        <s v="   Amapá"/>
        <s v="   Amazonas"/>
        <s v="   Bahia"/>
        <s v="   Ceará"/>
        <s v="   Distrito Federal"/>
        <s v="   Espírito Santo"/>
        <s v="   Goiás"/>
        <s v="   Maranhão"/>
        <s v="   Mato Grosso"/>
        <s v="   Mato Grosso do Sul"/>
        <s v="   Minas Gerais"/>
        <s v="   Paraná"/>
        <s v="   Paraíba"/>
        <s v="   Pará"/>
        <s v="   Pernambuco"/>
        <s v="   Piauí"/>
        <s v="   Rio Grande do Norte"/>
        <s v="   Rio Grande do Sul"/>
        <s v="   Rio de Janeiro"/>
        <s v="   Rondônia"/>
        <s v="   Roraima"/>
        <s v="   Santa Catarina"/>
        <s v="   Sergipe"/>
        <s v="   São Paulo"/>
        <s v="   Tocantins"/>
      </sharedItems>
    </cacheField>
    <cacheField name="Qtde" numFmtId="3">
      <sharedItems containsSemiMixedTypes="0" containsString="0" containsNumber="1" containsInteger="1" minValue="1" maxValue="1233"/>
    </cacheField>
    <cacheField name="Vl.Captado" numFmtId="4">
      <sharedItems containsSemiMixedTypes="0" containsString="0" containsNumber="1" minValue="0" maxValue="174062865.59"/>
    </cacheField>
    <cacheField name="áre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n v="8"/>
    <n v="0"/>
    <s v="Artes Cênicas"/>
  </r>
  <r>
    <x v="1"/>
    <n v="28"/>
    <n v="1106258.1000000001"/>
    <s v="Artes Cênicas"/>
  </r>
  <r>
    <x v="2"/>
    <n v="11"/>
    <n v="733665.73"/>
    <s v="Artes Cênicas"/>
  </r>
  <r>
    <x v="3"/>
    <n v="37"/>
    <n v="3875252.5"/>
    <s v="Artes Cênicas"/>
  </r>
  <r>
    <x v="4"/>
    <n v="149"/>
    <n v="7161377.4900000002"/>
    <s v="Artes Cênicas"/>
  </r>
  <r>
    <x v="5"/>
    <n v="107"/>
    <n v="4648310.72"/>
    <s v="Artes Cênicas"/>
  </r>
  <r>
    <x v="6"/>
    <n v="70"/>
    <n v="13543344.67"/>
    <s v="Artes Cênicas"/>
  </r>
  <r>
    <x v="7"/>
    <n v="69"/>
    <n v="3687438.95"/>
    <s v="Artes Cênicas"/>
  </r>
  <r>
    <x v="8"/>
    <n v="66"/>
    <n v="2560547.66"/>
    <s v="Artes Cênicas"/>
  </r>
  <r>
    <x v="9"/>
    <n v="75"/>
    <n v="2680886"/>
    <s v="Artes Cênicas"/>
  </r>
  <r>
    <x v="10"/>
    <n v="21"/>
    <n v="975385.93"/>
    <s v="Artes Cênicas"/>
  </r>
  <r>
    <x v="11"/>
    <n v="20"/>
    <n v="280810.48"/>
    <s v="Artes Cênicas"/>
  </r>
  <r>
    <x v="12"/>
    <n v="496"/>
    <n v="42017120.289999999"/>
    <s v="Artes Cênicas"/>
  </r>
  <r>
    <x v="13"/>
    <n v="261"/>
    <n v="35979175.450000003"/>
    <s v="Artes Cênicas"/>
  </r>
  <r>
    <x v="14"/>
    <n v="30"/>
    <n v="1815032"/>
    <s v="Artes Cênicas"/>
  </r>
  <r>
    <x v="15"/>
    <n v="47"/>
    <n v="4035701.93"/>
    <s v="Artes Cênicas"/>
  </r>
  <r>
    <x v="16"/>
    <n v="102"/>
    <n v="11037284.699999999"/>
    <s v="Artes Cênicas"/>
  </r>
  <r>
    <x v="17"/>
    <n v="42"/>
    <n v="1212681"/>
    <s v="Artes Cênicas"/>
  </r>
  <r>
    <x v="18"/>
    <n v="37"/>
    <n v="1514113.33"/>
    <s v="Artes Cênicas"/>
  </r>
  <r>
    <x v="19"/>
    <n v="310"/>
    <n v="32453293.34"/>
    <s v="Artes Cênicas"/>
  </r>
  <r>
    <x v="20"/>
    <n v="701"/>
    <n v="109717682.18000001"/>
    <s v="Artes Cênicas"/>
  </r>
  <r>
    <x v="21"/>
    <n v="9"/>
    <n v="396762.5"/>
    <s v="Artes Cênicas"/>
  </r>
  <r>
    <x v="22"/>
    <n v="5"/>
    <n v="720000"/>
    <s v="Artes Cênicas"/>
  </r>
  <r>
    <x v="23"/>
    <n v="263"/>
    <n v="24168674.129999999"/>
    <s v="Artes Cênicas"/>
  </r>
  <r>
    <x v="24"/>
    <n v="11"/>
    <n v="796000"/>
    <s v="Artes Cênicas"/>
  </r>
  <r>
    <x v="25"/>
    <n v="1233"/>
    <n v="174062865.59"/>
    <s v="Artes Cênicas"/>
  </r>
  <r>
    <x v="26"/>
    <n v="12"/>
    <n v="0"/>
    <s v="Artes Cênicas"/>
  </r>
  <r>
    <x v="0"/>
    <n v="6"/>
    <n v="0"/>
    <s v="Artes Visuais"/>
  </r>
  <r>
    <x v="1"/>
    <n v="14"/>
    <n v="598300.56000000006"/>
    <s v="Artes Visuais"/>
  </r>
  <r>
    <x v="2"/>
    <n v="7"/>
    <n v="640000"/>
    <s v="Artes Visuais"/>
  </r>
  <r>
    <x v="3"/>
    <n v="15"/>
    <n v="0"/>
    <s v="Artes Visuais"/>
  </r>
  <r>
    <x v="4"/>
    <n v="67"/>
    <n v="2067186"/>
    <s v="Artes Visuais"/>
  </r>
  <r>
    <x v="5"/>
    <n v="41"/>
    <n v="1738110.98"/>
    <s v="Artes Visuais"/>
  </r>
  <r>
    <x v="6"/>
    <n v="65"/>
    <n v="6668645.7699999996"/>
    <s v="Artes Visuais"/>
  </r>
  <r>
    <x v="7"/>
    <n v="54"/>
    <n v="2953980.18"/>
    <s v="Artes Visuais"/>
  </r>
  <r>
    <x v="8"/>
    <n v="21"/>
    <n v="384642.3"/>
    <s v="Artes Visuais"/>
  </r>
  <r>
    <x v="9"/>
    <n v="26"/>
    <n v="1020000"/>
    <s v="Artes Visuais"/>
  </r>
  <r>
    <x v="10"/>
    <n v="10"/>
    <n v="160000"/>
    <s v="Artes Visuais"/>
  </r>
  <r>
    <x v="11"/>
    <n v="3"/>
    <n v="0"/>
    <s v="Artes Visuais"/>
  </r>
  <r>
    <x v="12"/>
    <n v="204"/>
    <n v="35727445.299999997"/>
    <s v="Artes Visuais"/>
  </r>
  <r>
    <x v="13"/>
    <n v="117"/>
    <n v="5612104.29"/>
    <s v="Artes Visuais"/>
  </r>
  <r>
    <x v="14"/>
    <n v="10"/>
    <n v="902959.2"/>
    <s v="Artes Visuais"/>
  </r>
  <r>
    <x v="15"/>
    <n v="33"/>
    <n v="1799772.09"/>
    <s v="Artes Visuais"/>
  </r>
  <r>
    <x v="16"/>
    <n v="43"/>
    <n v="807092.31"/>
    <s v="Artes Visuais"/>
  </r>
  <r>
    <x v="17"/>
    <n v="12"/>
    <n v="200000"/>
    <s v="Artes Visuais"/>
  </r>
  <r>
    <x v="18"/>
    <n v="11"/>
    <n v="61600"/>
    <s v="Artes Visuais"/>
  </r>
  <r>
    <x v="19"/>
    <n v="87"/>
    <n v="12007822.26"/>
    <s v="Artes Visuais"/>
  </r>
  <r>
    <x v="20"/>
    <n v="280"/>
    <n v="48238794.759999998"/>
    <s v="Artes Visuais"/>
  </r>
  <r>
    <x v="21"/>
    <n v="3"/>
    <n v="199992"/>
    <s v="Artes Visuais"/>
  </r>
  <r>
    <x v="23"/>
    <n v="80"/>
    <n v="6811581.29"/>
    <s v="Artes Visuais"/>
  </r>
  <r>
    <x v="24"/>
    <n v="4"/>
    <n v="0"/>
    <s v="Artes Visuais"/>
  </r>
  <r>
    <x v="25"/>
    <n v="675"/>
    <n v="112255193.73"/>
    <s v="Artes Visuais"/>
  </r>
  <r>
    <x v="26"/>
    <n v="6"/>
    <n v="342290"/>
    <s v="Artes Visuais"/>
  </r>
  <r>
    <x v="0"/>
    <n v="7"/>
    <n v="480000"/>
    <s v="Audiovisual"/>
  </r>
  <r>
    <x v="1"/>
    <n v="13"/>
    <n v="447235"/>
    <s v="Audiovisual"/>
  </r>
  <r>
    <x v="2"/>
    <n v="6"/>
    <n v="0"/>
    <s v="Audiovisual"/>
  </r>
  <r>
    <x v="3"/>
    <n v="24"/>
    <n v="257140"/>
    <s v="Audiovisual"/>
  </r>
  <r>
    <x v="4"/>
    <n v="68"/>
    <n v="729844.01"/>
    <s v="Audiovisual"/>
  </r>
  <r>
    <x v="5"/>
    <n v="58"/>
    <n v="1689500.45"/>
    <s v="Audiovisual"/>
  </r>
  <r>
    <x v="6"/>
    <n v="43"/>
    <n v="2976221.84"/>
    <s v="Audiovisual"/>
  </r>
  <r>
    <x v="7"/>
    <n v="39"/>
    <n v="5262398.28"/>
    <s v="Audiovisual"/>
  </r>
  <r>
    <x v="8"/>
    <n v="42"/>
    <n v="568204.62"/>
    <s v="Audiovisual"/>
  </r>
  <r>
    <x v="9"/>
    <n v="58"/>
    <n v="150000"/>
    <s v="Audiovisual"/>
  </r>
  <r>
    <x v="10"/>
    <n v="15"/>
    <n v="55000"/>
    <s v="Audiovisual"/>
  </r>
  <r>
    <x v="11"/>
    <n v="12"/>
    <n v="3562"/>
    <s v="Audiovisual"/>
  </r>
  <r>
    <x v="12"/>
    <n v="151"/>
    <n v="9401218.8100000005"/>
    <s v="Audiovisual"/>
  </r>
  <r>
    <x v="13"/>
    <n v="115"/>
    <n v="5538274.4699999997"/>
    <s v="Audiovisual"/>
  </r>
  <r>
    <x v="14"/>
    <n v="22"/>
    <n v="199816.5"/>
    <s v="Audiovisual"/>
  </r>
  <r>
    <x v="15"/>
    <n v="23"/>
    <n v="1050000"/>
    <s v="Audiovisual"/>
  </r>
  <r>
    <x v="16"/>
    <n v="50"/>
    <n v="1687133.5"/>
    <s v="Audiovisual"/>
  </r>
  <r>
    <x v="17"/>
    <n v="12"/>
    <n v="0"/>
    <s v="Audiovisual"/>
  </r>
  <r>
    <x v="18"/>
    <n v="9"/>
    <n v="0"/>
    <s v="Audiovisual"/>
  </r>
  <r>
    <x v="19"/>
    <n v="112"/>
    <n v="4761740.5199999996"/>
    <s v="Audiovisual"/>
  </r>
  <r>
    <x v="20"/>
    <n v="241"/>
    <n v="47458550.700000003"/>
    <s v="Audiovisual"/>
  </r>
  <r>
    <x v="21"/>
    <n v="9"/>
    <n v="342792.13"/>
    <s v="Audiovisual"/>
  </r>
  <r>
    <x v="22"/>
    <n v="2"/>
    <n v="199883.44"/>
    <s v="Audiovisual"/>
  </r>
  <r>
    <x v="23"/>
    <n v="83"/>
    <n v="1767398.87"/>
    <s v="Audiovisual"/>
  </r>
  <r>
    <x v="24"/>
    <n v="13"/>
    <n v="584000"/>
    <s v="Audiovisual"/>
  </r>
  <r>
    <x v="25"/>
    <n v="541"/>
    <n v="46813776.369999997"/>
    <s v="Audiovisual"/>
  </r>
  <r>
    <x v="26"/>
    <n v="3"/>
    <n v="399773.34"/>
    <s v="Audiovisual"/>
  </r>
  <r>
    <x v="1"/>
    <n v="6"/>
    <n v="50000"/>
    <s v="Humanidades"/>
  </r>
  <r>
    <x v="2"/>
    <n v="4"/>
    <n v="199867.5"/>
    <s v="Humanidades"/>
  </r>
  <r>
    <x v="3"/>
    <n v="15"/>
    <n v="600000"/>
    <s v="Humanidades"/>
  </r>
  <r>
    <x v="4"/>
    <n v="97"/>
    <n v="3863950.34"/>
    <s v="Humanidades"/>
  </r>
  <r>
    <x v="5"/>
    <n v="70"/>
    <n v="4156502.21"/>
    <s v="Humanidades"/>
  </r>
  <r>
    <x v="6"/>
    <n v="43"/>
    <n v="2452416.16"/>
    <s v="Humanidades"/>
  </r>
  <r>
    <x v="7"/>
    <n v="40"/>
    <n v="2614336.04"/>
    <s v="Humanidades"/>
  </r>
  <r>
    <x v="8"/>
    <n v="39"/>
    <n v="525901.5"/>
    <s v="Humanidades"/>
  </r>
  <r>
    <x v="9"/>
    <n v="37"/>
    <n v="200000"/>
    <s v="Humanidades"/>
  </r>
  <r>
    <x v="10"/>
    <n v="11"/>
    <n v="216532.72"/>
    <s v="Humanidades"/>
  </r>
  <r>
    <x v="11"/>
    <n v="14"/>
    <n v="429561.59999999998"/>
    <s v="Humanidades"/>
  </r>
  <r>
    <x v="12"/>
    <n v="283"/>
    <n v="15329203.41"/>
    <s v="Humanidades"/>
  </r>
  <r>
    <x v="13"/>
    <n v="143"/>
    <n v="3551005.29"/>
    <s v="Humanidades"/>
  </r>
  <r>
    <x v="14"/>
    <n v="16"/>
    <n v="318375"/>
    <s v="Humanidades"/>
  </r>
  <r>
    <x v="15"/>
    <n v="25"/>
    <n v="0"/>
    <s v="Humanidades"/>
  </r>
  <r>
    <x v="16"/>
    <n v="53"/>
    <n v="1260309.18"/>
    <s v="Humanidades"/>
  </r>
  <r>
    <x v="17"/>
    <n v="19"/>
    <n v="23000"/>
    <s v="Humanidades"/>
  </r>
  <r>
    <x v="18"/>
    <n v="16"/>
    <n v="0"/>
    <s v="Humanidades"/>
  </r>
  <r>
    <x v="19"/>
    <n v="161"/>
    <n v="5673577.5499999998"/>
    <s v="Humanidades"/>
  </r>
  <r>
    <x v="20"/>
    <n v="303"/>
    <n v="18442585.670000002"/>
    <s v="Humanidades"/>
  </r>
  <r>
    <x v="21"/>
    <n v="2"/>
    <n v="1903258.05"/>
    <s v="Humanidades"/>
  </r>
  <r>
    <x v="23"/>
    <n v="125"/>
    <n v="3420316.84"/>
    <s v="Humanidades"/>
  </r>
  <r>
    <x v="24"/>
    <n v="3"/>
    <n v="0"/>
    <s v="Humanidades"/>
  </r>
  <r>
    <x v="25"/>
    <n v="717"/>
    <n v="75479055.719999999"/>
    <s v="Humanidades"/>
  </r>
  <r>
    <x v="26"/>
    <n v="8"/>
    <n v="183529"/>
    <s v="Humanidades"/>
  </r>
  <r>
    <x v="3"/>
    <n v="2"/>
    <n v="0"/>
    <s v="Museus e Memória"/>
  </r>
  <r>
    <x v="4"/>
    <n v="2"/>
    <n v="0"/>
    <s v="Museus e Memória"/>
  </r>
  <r>
    <x v="5"/>
    <n v="7"/>
    <n v="1332268"/>
    <s v="Museus e Memória"/>
  </r>
  <r>
    <x v="6"/>
    <n v="9"/>
    <n v="5286500"/>
    <s v="Museus e Memória"/>
  </r>
  <r>
    <x v="7"/>
    <n v="4"/>
    <n v="5127392.96"/>
    <s v="Museus e Memória"/>
  </r>
  <r>
    <x v="9"/>
    <n v="1"/>
    <n v="0"/>
    <s v="Museus e Memória"/>
  </r>
  <r>
    <x v="10"/>
    <n v="1"/>
    <n v="0"/>
    <s v="Museus e Memória"/>
  </r>
  <r>
    <x v="12"/>
    <n v="28"/>
    <n v="18684392.93"/>
    <s v="Museus e Memória"/>
  </r>
  <r>
    <x v="13"/>
    <n v="21"/>
    <n v="3883138.49"/>
    <s v="Museus e Memória"/>
  </r>
  <r>
    <x v="14"/>
    <n v="2"/>
    <n v="0"/>
    <s v="Museus e Memória"/>
  </r>
  <r>
    <x v="15"/>
    <n v="3"/>
    <n v="7000000"/>
    <s v="Museus e Memória"/>
  </r>
  <r>
    <x v="16"/>
    <n v="11"/>
    <n v="4401507.75"/>
    <s v="Museus e Memória"/>
  </r>
  <r>
    <x v="17"/>
    <n v="1"/>
    <n v="0"/>
    <s v="Museus e Memória"/>
  </r>
  <r>
    <x v="18"/>
    <n v="3"/>
    <n v="0"/>
    <s v="Museus e Memória"/>
  </r>
  <r>
    <x v="19"/>
    <n v="31"/>
    <n v="6028495"/>
    <s v="Museus e Memória"/>
  </r>
  <r>
    <x v="20"/>
    <n v="55"/>
    <n v="28148220.18"/>
    <s v="Museus e Memória"/>
  </r>
  <r>
    <x v="23"/>
    <n v="15"/>
    <n v="522301.85"/>
    <s v="Museus e Memória"/>
  </r>
  <r>
    <x v="24"/>
    <n v="1"/>
    <n v="817701.94"/>
    <s v="Museus e Memória"/>
  </r>
  <r>
    <x v="25"/>
    <n v="68"/>
    <n v="70762256.230000004"/>
    <s v="Museus e Memória"/>
  </r>
  <r>
    <x v="0"/>
    <n v="7"/>
    <n v="34870.410000000003"/>
    <s v="Música"/>
  </r>
  <r>
    <x v="1"/>
    <n v="33"/>
    <n v="835907.45"/>
    <s v="Música"/>
  </r>
  <r>
    <x v="2"/>
    <n v="12"/>
    <n v="458449.88"/>
    <s v="Música"/>
  </r>
  <r>
    <x v="3"/>
    <n v="53"/>
    <n v="7689780"/>
    <s v="Música"/>
  </r>
  <r>
    <x v="4"/>
    <n v="192"/>
    <n v="12817202.01"/>
    <s v="Música"/>
  </r>
  <r>
    <x v="5"/>
    <n v="113"/>
    <n v="11101280.35"/>
    <s v="Música"/>
  </r>
  <r>
    <x v="6"/>
    <n v="128"/>
    <n v="24678676.649999999"/>
    <s v="Música"/>
  </r>
  <r>
    <x v="7"/>
    <n v="113"/>
    <n v="7890870.9100000001"/>
    <s v="Música"/>
  </r>
  <r>
    <x v="8"/>
    <n v="123"/>
    <n v="3895721.3"/>
    <s v="Música"/>
  </r>
  <r>
    <x v="9"/>
    <n v="95"/>
    <n v="3018354.48"/>
    <s v="Música"/>
  </r>
  <r>
    <x v="10"/>
    <n v="37"/>
    <n v="7906699.2800000003"/>
    <s v="Música"/>
  </r>
  <r>
    <x v="11"/>
    <n v="28"/>
    <n v="1192018.68"/>
    <s v="Música"/>
  </r>
  <r>
    <x v="12"/>
    <n v="609"/>
    <n v="43561756.829999998"/>
    <s v="Música"/>
  </r>
  <r>
    <x v="13"/>
    <n v="286"/>
    <n v="31773523.09"/>
    <s v="Música"/>
  </r>
  <r>
    <x v="14"/>
    <n v="33"/>
    <n v="45000"/>
    <s v="Música"/>
  </r>
  <r>
    <x v="15"/>
    <n v="120"/>
    <n v="18777619.75"/>
    <s v="Música"/>
  </r>
  <r>
    <x v="16"/>
    <n v="143"/>
    <n v="8326031.0599999996"/>
    <s v="Música"/>
  </r>
  <r>
    <x v="17"/>
    <n v="37"/>
    <n v="932905.99"/>
    <s v="Música"/>
  </r>
  <r>
    <x v="18"/>
    <n v="57"/>
    <n v="2374831.75"/>
    <s v="Música"/>
  </r>
  <r>
    <x v="19"/>
    <n v="539"/>
    <n v="36184306.159999996"/>
    <s v="Música"/>
  </r>
  <r>
    <x v="20"/>
    <n v="486"/>
    <n v="151866281.38"/>
    <s v="Música"/>
  </r>
  <r>
    <x v="21"/>
    <n v="7"/>
    <n v="400000"/>
    <s v="Música"/>
  </r>
  <r>
    <x v="22"/>
    <n v="5"/>
    <n v="0"/>
    <s v="Música"/>
  </r>
  <r>
    <x v="23"/>
    <n v="343"/>
    <n v="25155478.949999999"/>
    <s v="Música"/>
  </r>
  <r>
    <x v="24"/>
    <n v="23"/>
    <n v="1267356.3600000001"/>
    <s v="Música"/>
  </r>
  <r>
    <x v="25"/>
    <n v="888"/>
    <n v="146031060.27000001"/>
    <s v="Música"/>
  </r>
  <r>
    <x v="26"/>
    <n v="11"/>
    <n v="395000"/>
    <s v="Música"/>
  </r>
  <r>
    <x v="0"/>
    <n v="1"/>
    <n v="0"/>
    <s v="Patrimônio Cultural"/>
  </r>
  <r>
    <x v="1"/>
    <n v="8"/>
    <n v="247086.97"/>
    <s v="Patrimônio Cultural"/>
  </r>
  <r>
    <x v="2"/>
    <n v="2"/>
    <n v="0"/>
    <s v="Patrimônio Cultural"/>
  </r>
  <r>
    <x v="3"/>
    <n v="2"/>
    <n v="184342.5"/>
    <s v="Patrimônio Cultural"/>
  </r>
  <r>
    <x v="4"/>
    <n v="39"/>
    <n v="865301.42"/>
    <s v="Patrimônio Cultural"/>
  </r>
  <r>
    <x v="5"/>
    <n v="14"/>
    <n v="0"/>
    <s v="Patrimônio Cultural"/>
  </r>
  <r>
    <x v="6"/>
    <n v="13"/>
    <n v="0"/>
    <s v="Patrimônio Cultural"/>
  </r>
  <r>
    <x v="7"/>
    <n v="13"/>
    <n v="0"/>
    <s v="Patrimônio Cultural"/>
  </r>
  <r>
    <x v="8"/>
    <n v="21"/>
    <n v="1311341.95"/>
    <s v="Patrimônio Cultural"/>
  </r>
  <r>
    <x v="9"/>
    <n v="13"/>
    <n v="0"/>
    <s v="Patrimônio Cultural"/>
  </r>
  <r>
    <x v="10"/>
    <n v="1"/>
    <n v="57430.5"/>
    <s v="Patrimônio Cultural"/>
  </r>
  <r>
    <x v="11"/>
    <n v="3"/>
    <n v="0"/>
    <s v="Patrimônio Cultural"/>
  </r>
  <r>
    <x v="12"/>
    <n v="84"/>
    <n v="12551529.92"/>
    <s v="Patrimônio Cultural"/>
  </r>
  <r>
    <x v="13"/>
    <n v="22"/>
    <n v="240165"/>
    <s v="Patrimônio Cultural"/>
  </r>
  <r>
    <x v="14"/>
    <n v="2"/>
    <n v="0"/>
    <s v="Patrimônio Cultural"/>
  </r>
  <r>
    <x v="15"/>
    <n v="10"/>
    <n v="396269.57"/>
    <s v="Patrimônio Cultural"/>
  </r>
  <r>
    <x v="16"/>
    <n v="24"/>
    <n v="175000"/>
    <s v="Patrimônio Cultural"/>
  </r>
  <r>
    <x v="17"/>
    <n v="7"/>
    <n v="120224"/>
    <s v="Patrimônio Cultural"/>
  </r>
  <r>
    <x v="18"/>
    <n v="6"/>
    <n v="0"/>
    <s v="Patrimônio Cultural"/>
  </r>
  <r>
    <x v="19"/>
    <n v="36"/>
    <n v="1536137.26"/>
    <s v="Patrimônio Cultural"/>
  </r>
  <r>
    <x v="20"/>
    <n v="61"/>
    <n v="14910893.109999999"/>
    <s v="Patrimônio Cultural"/>
  </r>
  <r>
    <x v="21"/>
    <n v="1"/>
    <n v="0"/>
    <s v="Patrimônio Cultural"/>
  </r>
  <r>
    <x v="23"/>
    <n v="18"/>
    <n v="544070.97"/>
    <s v="Patrimônio Cultural"/>
  </r>
  <r>
    <x v="24"/>
    <n v="6"/>
    <n v="0"/>
    <s v="Patrimônio Cultural"/>
  </r>
  <r>
    <x v="25"/>
    <n v="84"/>
    <n v="3904861.5"/>
    <s v="Patrimônio Cultural"/>
  </r>
  <r>
    <x v="26"/>
    <n v="3"/>
    <n v="199597.5"/>
    <s v="Patrimônio Cultu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E0DE6-05A1-4F16-8264-C87FA2A6058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1" firstHeaderRow="0" firstDataRow="1" firstDataCol="1"/>
  <pivotFields count="4">
    <pivotField axis="axisRow" showAll="0" sortType="ascending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4"/>
        <item x="13"/>
        <item x="16"/>
        <item x="17"/>
        <item x="20"/>
        <item x="18"/>
        <item x="19"/>
        <item x="21"/>
        <item x="22"/>
        <item x="23"/>
        <item x="25"/>
        <item x="24"/>
        <item x="2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3" showAll="0"/>
    <pivotField dataField="1" numFmtId="4" showAll="0"/>
    <pivotField showAll="0"/>
  </pivotFields>
  <rowFields count="1">
    <field x="0"/>
  </rowFields>
  <rowItems count="28">
    <i>
      <x/>
    </i>
    <i>
      <x v="22"/>
    </i>
    <i>
      <x v="26"/>
    </i>
    <i>
      <x v="11"/>
    </i>
    <i>
      <x v="2"/>
    </i>
    <i>
      <x v="17"/>
    </i>
    <i>
      <x v="21"/>
    </i>
    <i>
      <x v="14"/>
    </i>
    <i>
      <x v="1"/>
    </i>
    <i>
      <x v="25"/>
    </i>
    <i>
      <x v="19"/>
    </i>
    <i>
      <x v="9"/>
    </i>
    <i>
      <x v="8"/>
    </i>
    <i>
      <x v="10"/>
    </i>
    <i>
      <x v="3"/>
    </i>
    <i>
      <x v="5"/>
    </i>
    <i>
      <x v="4"/>
    </i>
    <i>
      <x v="7"/>
    </i>
    <i>
      <x v="16"/>
    </i>
    <i>
      <x v="13"/>
    </i>
    <i>
      <x v="6"/>
    </i>
    <i>
      <x v="23"/>
    </i>
    <i>
      <x v="15"/>
    </i>
    <i>
      <x v="20"/>
    </i>
    <i>
      <x v="12"/>
    </i>
    <i>
      <x v="18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e" fld="1" baseField="0" baseItem="0" numFmtId="3"/>
    <dataField name="Soma de Vl.Captado" fld="2" baseField="0" baseItem="0" numFmtId="4"/>
  </dataFields>
  <formats count="1">
    <format dxfId="0">
      <pivotArea collapsedLevelsAreSubtotals="1" fieldPosition="0">
        <references count="1">
          <reference field="0" count="17">
            <x v="0"/>
            <x v="1"/>
            <x v="2"/>
            <x v="3"/>
            <x v="4"/>
            <x v="5"/>
            <x v="8"/>
            <x v="9"/>
            <x v="10"/>
            <x v="11"/>
            <x v="14"/>
            <x v="17"/>
            <x v="19"/>
            <x v="21"/>
            <x v="22"/>
            <x v="25"/>
            <x v="2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F314-0F83-4811-A281-4D54CFE625C8}">
  <dimension ref="A3:I31"/>
  <sheetViews>
    <sheetView tabSelected="1" workbookViewId="0">
      <selection activeCell="B4" sqref="B4:E20"/>
    </sheetView>
  </sheetViews>
  <sheetFormatPr defaultRowHeight="15" x14ac:dyDescent="0.25"/>
  <cols>
    <col min="1" max="1" width="20.5703125" bestFit="1" customWidth="1"/>
    <col min="2" max="2" width="13.5703125" bestFit="1" customWidth="1"/>
    <col min="3" max="3" width="19" bestFit="1" customWidth="1"/>
    <col min="4" max="4" width="14.28515625" bestFit="1" customWidth="1"/>
    <col min="5" max="5" width="16.85546875" bestFit="1" customWidth="1"/>
    <col min="6" max="6" width="12.42578125" bestFit="1" customWidth="1"/>
    <col min="9" max="9" width="15.28515625" bestFit="1" customWidth="1"/>
  </cols>
  <sheetData>
    <row r="3" spans="1:9" x14ac:dyDescent="0.25">
      <c r="A3" s="10" t="s">
        <v>39</v>
      </c>
      <c r="B3" s="9" t="s">
        <v>40</v>
      </c>
      <c r="C3" s="14" t="s">
        <v>41</v>
      </c>
      <c r="E3" t="s">
        <v>42</v>
      </c>
      <c r="H3" t="s">
        <v>43</v>
      </c>
      <c r="I3" s="19">
        <v>134000000</v>
      </c>
    </row>
    <row r="4" spans="1:9" x14ac:dyDescent="0.25">
      <c r="A4" s="11" t="s">
        <v>3</v>
      </c>
      <c r="B4" s="20">
        <v>29</v>
      </c>
      <c r="C4" s="21">
        <v>514870.41000000003</v>
      </c>
      <c r="D4" s="21">
        <v>514870.41000000003</v>
      </c>
      <c r="E4" s="22">
        <f>D4</f>
        <v>514870.41000000003</v>
      </c>
      <c r="F4" t="b">
        <f>E4&lt;$I$3</f>
        <v>1</v>
      </c>
    </row>
    <row r="5" spans="1:9" x14ac:dyDescent="0.25">
      <c r="A5" s="12" t="s">
        <v>25</v>
      </c>
      <c r="B5" s="23">
        <v>12</v>
      </c>
      <c r="C5" s="24">
        <v>919883.44</v>
      </c>
      <c r="D5" s="24">
        <v>919883.44</v>
      </c>
      <c r="E5" s="22">
        <f>D5+E4</f>
        <v>1434753.85</v>
      </c>
      <c r="F5" t="b">
        <f t="shared" ref="F5:F31" si="0">E5&lt;$I$3</f>
        <v>1</v>
      </c>
      <c r="I5">
        <f>I3/E20</f>
        <v>1.1446136820473445</v>
      </c>
    </row>
    <row r="6" spans="1:9" x14ac:dyDescent="0.25">
      <c r="A6" s="12" t="s">
        <v>29</v>
      </c>
      <c r="B6" s="23">
        <v>43</v>
      </c>
      <c r="C6" s="24">
        <v>1520189.84</v>
      </c>
      <c r="D6" s="24">
        <v>1520189.84</v>
      </c>
      <c r="E6" s="22">
        <f t="shared" ref="E6:E30" si="1">D6+E5</f>
        <v>2954943.6900000004</v>
      </c>
      <c r="F6" t="b">
        <f t="shared" si="0"/>
        <v>1</v>
      </c>
    </row>
    <row r="7" spans="1:9" x14ac:dyDescent="0.25">
      <c r="A7" s="12" t="s">
        <v>14</v>
      </c>
      <c r="B7" s="23">
        <v>80</v>
      </c>
      <c r="C7" s="24">
        <v>1905952.7599999998</v>
      </c>
      <c r="D7" s="24">
        <v>1905952.7599999998</v>
      </c>
      <c r="E7" s="22">
        <f t="shared" si="1"/>
        <v>4860896.45</v>
      </c>
      <c r="F7" t="b">
        <f t="shared" si="0"/>
        <v>1</v>
      </c>
    </row>
    <row r="8" spans="1:9" x14ac:dyDescent="0.25">
      <c r="A8" s="12" t="s">
        <v>5</v>
      </c>
      <c r="B8" s="23">
        <v>42</v>
      </c>
      <c r="C8" s="24">
        <v>2031983.1099999999</v>
      </c>
      <c r="D8" s="24">
        <v>2031983.1099999999</v>
      </c>
      <c r="E8" s="22">
        <f t="shared" si="1"/>
        <v>6892879.5600000005</v>
      </c>
      <c r="F8" t="b">
        <f t="shared" si="0"/>
        <v>1</v>
      </c>
    </row>
    <row r="9" spans="1:9" x14ac:dyDescent="0.25">
      <c r="A9" s="12" t="s">
        <v>20</v>
      </c>
      <c r="B9" s="23">
        <v>130</v>
      </c>
      <c r="C9" s="24">
        <v>2488810.9900000002</v>
      </c>
      <c r="D9" s="24">
        <v>2488810.9900000002</v>
      </c>
      <c r="E9" s="22">
        <f t="shared" si="1"/>
        <v>9381690.5500000007</v>
      </c>
      <c r="F9" t="b">
        <f t="shared" si="0"/>
        <v>1</v>
      </c>
    </row>
    <row r="10" spans="1:9" x14ac:dyDescent="0.25">
      <c r="A10" s="12" t="s">
        <v>24</v>
      </c>
      <c r="B10" s="23">
        <v>31</v>
      </c>
      <c r="C10" s="24">
        <v>3242804.68</v>
      </c>
      <c r="D10" s="24">
        <v>3242804.68</v>
      </c>
      <c r="E10" s="22">
        <f t="shared" si="1"/>
        <v>12624495.23</v>
      </c>
      <c r="F10" t="b">
        <f t="shared" si="0"/>
        <v>1</v>
      </c>
    </row>
    <row r="11" spans="1:9" x14ac:dyDescent="0.25">
      <c r="A11" s="12" t="s">
        <v>17</v>
      </c>
      <c r="B11" s="23">
        <v>115</v>
      </c>
      <c r="C11" s="24">
        <v>3281182.7</v>
      </c>
      <c r="D11" s="24">
        <v>3281182.7</v>
      </c>
      <c r="E11" s="22">
        <f t="shared" si="1"/>
        <v>15905677.93</v>
      </c>
      <c r="F11" t="b">
        <f t="shared" si="0"/>
        <v>1</v>
      </c>
    </row>
    <row r="12" spans="1:9" x14ac:dyDescent="0.25">
      <c r="A12" s="12" t="s">
        <v>4</v>
      </c>
      <c r="B12" s="23">
        <v>102</v>
      </c>
      <c r="C12" s="24">
        <v>3284788.0800000005</v>
      </c>
      <c r="D12" s="24">
        <v>3284788.0800000005</v>
      </c>
      <c r="E12" s="22">
        <f t="shared" si="1"/>
        <v>19190466.010000002</v>
      </c>
      <c r="F12" t="b">
        <f t="shared" si="0"/>
        <v>1</v>
      </c>
    </row>
    <row r="13" spans="1:9" x14ac:dyDescent="0.25">
      <c r="A13" s="12" t="s">
        <v>27</v>
      </c>
      <c r="B13" s="23">
        <v>61</v>
      </c>
      <c r="C13" s="24">
        <v>3465058.3</v>
      </c>
      <c r="D13" s="24">
        <v>3465058.3</v>
      </c>
      <c r="E13" s="22">
        <f t="shared" si="1"/>
        <v>22655524.310000002</v>
      </c>
      <c r="F13" t="b">
        <f t="shared" si="0"/>
        <v>1</v>
      </c>
    </row>
    <row r="14" spans="1:9" x14ac:dyDescent="0.25">
      <c r="A14" s="12" t="s">
        <v>21</v>
      </c>
      <c r="B14" s="23">
        <v>139</v>
      </c>
      <c r="C14" s="24">
        <v>3950545.08</v>
      </c>
      <c r="D14" s="24">
        <v>3950545.08</v>
      </c>
      <c r="E14" s="22">
        <f t="shared" si="1"/>
        <v>26606069.390000001</v>
      </c>
      <c r="F14" t="b">
        <f t="shared" si="0"/>
        <v>1</v>
      </c>
    </row>
    <row r="15" spans="1:9" x14ac:dyDescent="0.25">
      <c r="A15" s="12" t="s">
        <v>12</v>
      </c>
      <c r="B15" s="23">
        <v>305</v>
      </c>
      <c r="C15" s="24">
        <v>7069240.4800000004</v>
      </c>
      <c r="D15" s="24">
        <v>7069240.4800000004</v>
      </c>
      <c r="E15" s="22">
        <f t="shared" si="1"/>
        <v>33675309.870000005</v>
      </c>
      <c r="F15" t="b">
        <f t="shared" si="0"/>
        <v>1</v>
      </c>
    </row>
    <row r="16" spans="1:9" x14ac:dyDescent="0.25">
      <c r="A16" s="12" t="s">
        <v>11</v>
      </c>
      <c r="B16" s="23">
        <v>312</v>
      </c>
      <c r="C16" s="24">
        <v>9246359.3300000001</v>
      </c>
      <c r="D16" s="24">
        <v>9246359.3300000001</v>
      </c>
      <c r="E16" s="22">
        <f t="shared" si="1"/>
        <v>42921669.200000003</v>
      </c>
      <c r="F16" t="b">
        <f t="shared" si="0"/>
        <v>1</v>
      </c>
    </row>
    <row r="17" spans="1:6" x14ac:dyDescent="0.25">
      <c r="A17" s="12" t="s">
        <v>13</v>
      </c>
      <c r="B17" s="23">
        <v>96</v>
      </c>
      <c r="C17" s="24">
        <v>9371048.4299999997</v>
      </c>
      <c r="D17" s="24">
        <v>9371048.4299999997</v>
      </c>
      <c r="E17" s="22">
        <f t="shared" si="1"/>
        <v>52292717.630000003</v>
      </c>
      <c r="F17" t="b">
        <f t="shared" si="0"/>
        <v>1</v>
      </c>
    </row>
    <row r="18" spans="1:6" x14ac:dyDescent="0.25">
      <c r="A18" s="12" t="s">
        <v>6</v>
      </c>
      <c r="B18" s="23">
        <v>148</v>
      </c>
      <c r="C18" s="24">
        <v>12606515</v>
      </c>
      <c r="D18" s="24">
        <v>12606515</v>
      </c>
      <c r="E18" s="22">
        <f t="shared" si="1"/>
        <v>64899232.630000003</v>
      </c>
      <c r="F18" t="b">
        <f t="shared" si="0"/>
        <v>1</v>
      </c>
    </row>
    <row r="19" spans="1:6" x14ac:dyDescent="0.25">
      <c r="A19" s="12" t="s">
        <v>8</v>
      </c>
      <c r="B19" s="23">
        <v>410</v>
      </c>
      <c r="C19" s="24">
        <v>24665972.710000001</v>
      </c>
      <c r="D19" s="24">
        <v>24665972.710000001</v>
      </c>
      <c r="E19" s="22">
        <f t="shared" si="1"/>
        <v>89565205.340000004</v>
      </c>
      <c r="F19" t="b">
        <f t="shared" si="0"/>
        <v>1</v>
      </c>
    </row>
    <row r="20" spans="1:6" x14ac:dyDescent="0.25">
      <c r="A20" s="12" t="s">
        <v>7</v>
      </c>
      <c r="B20" s="23">
        <v>614</v>
      </c>
      <c r="C20" s="24">
        <v>27504861.270000003</v>
      </c>
      <c r="D20" s="24">
        <v>27504861.270000003</v>
      </c>
      <c r="E20" s="22">
        <f t="shared" si="1"/>
        <v>117070066.61000001</v>
      </c>
      <c r="F20" t="b">
        <f t="shared" si="0"/>
        <v>1</v>
      </c>
    </row>
    <row r="21" spans="1:6" x14ac:dyDescent="0.25">
      <c r="A21" s="12" t="s">
        <v>10</v>
      </c>
      <c r="B21" s="15">
        <v>332</v>
      </c>
      <c r="C21" s="16">
        <v>27536417.32</v>
      </c>
      <c r="D21" s="16">
        <v>27536417.32</v>
      </c>
      <c r="E21" s="19">
        <f t="shared" si="1"/>
        <v>144606483.93000001</v>
      </c>
      <c r="F21" t="b">
        <f t="shared" si="0"/>
        <v>0</v>
      </c>
    </row>
    <row r="22" spans="1:6" x14ac:dyDescent="0.25">
      <c r="A22" s="12" t="s">
        <v>19</v>
      </c>
      <c r="B22" s="15">
        <v>426</v>
      </c>
      <c r="C22" s="16">
        <v>27694358.499999996</v>
      </c>
      <c r="D22" s="16">
        <v>27694358.499999996</v>
      </c>
      <c r="E22" s="19">
        <f t="shared" si="1"/>
        <v>172300842.43000001</v>
      </c>
      <c r="F22" t="b">
        <f t="shared" si="0"/>
        <v>0</v>
      </c>
    </row>
    <row r="23" spans="1:6" x14ac:dyDescent="0.25">
      <c r="A23" s="12" t="s">
        <v>18</v>
      </c>
      <c r="B23" s="15">
        <v>261</v>
      </c>
      <c r="C23" s="16">
        <v>33059363.34</v>
      </c>
      <c r="D23" s="16">
        <v>33059363.34</v>
      </c>
      <c r="E23" s="19">
        <f t="shared" si="1"/>
        <v>205360205.77000001</v>
      </c>
      <c r="F23" t="b">
        <f t="shared" si="0"/>
        <v>0</v>
      </c>
    </row>
    <row r="24" spans="1:6" x14ac:dyDescent="0.25">
      <c r="A24" s="12" t="s">
        <v>9</v>
      </c>
      <c r="B24" s="15">
        <v>371</v>
      </c>
      <c r="C24" s="16">
        <v>55605805.089999996</v>
      </c>
      <c r="D24" s="16">
        <v>55605805.089999996</v>
      </c>
      <c r="E24" s="19">
        <f t="shared" si="1"/>
        <v>260966010.86000001</v>
      </c>
      <c r="F24" t="b">
        <f t="shared" si="0"/>
        <v>0</v>
      </c>
    </row>
    <row r="25" spans="1:6" x14ac:dyDescent="0.25">
      <c r="A25" s="12" t="s">
        <v>26</v>
      </c>
      <c r="B25" s="15">
        <v>927</v>
      </c>
      <c r="C25" s="16">
        <v>62389822.899999991</v>
      </c>
      <c r="D25" s="16">
        <v>62389822.899999991</v>
      </c>
      <c r="E25" s="19">
        <f t="shared" si="1"/>
        <v>323355833.75999999</v>
      </c>
      <c r="F25" t="b">
        <f t="shared" si="0"/>
        <v>0</v>
      </c>
    </row>
    <row r="26" spans="1:6" x14ac:dyDescent="0.25">
      <c r="A26" s="12" t="s">
        <v>16</v>
      </c>
      <c r="B26" s="15">
        <v>965</v>
      </c>
      <c r="C26" s="16">
        <v>86577386.079999998</v>
      </c>
      <c r="D26" s="16">
        <v>86577386.079999998</v>
      </c>
      <c r="E26" s="19">
        <f t="shared" si="1"/>
        <v>409933219.83999997</v>
      </c>
      <c r="F26" t="b">
        <f t="shared" si="0"/>
        <v>0</v>
      </c>
    </row>
    <row r="27" spans="1:6" x14ac:dyDescent="0.25">
      <c r="A27" s="12" t="s">
        <v>22</v>
      </c>
      <c r="B27" s="15">
        <v>1276</v>
      </c>
      <c r="C27" s="16">
        <v>98645372.090000004</v>
      </c>
      <c r="D27" s="16">
        <v>98645372.090000004</v>
      </c>
      <c r="E27" s="19">
        <f t="shared" si="1"/>
        <v>508578591.92999995</v>
      </c>
      <c r="F27" t="b">
        <f t="shared" si="0"/>
        <v>0</v>
      </c>
    </row>
    <row r="28" spans="1:6" x14ac:dyDescent="0.25">
      <c r="A28" s="12" t="s">
        <v>15</v>
      </c>
      <c r="B28" s="15">
        <v>1855</v>
      </c>
      <c r="C28" s="16">
        <v>177272667.48999998</v>
      </c>
      <c r="D28" s="16">
        <v>177272667.48999998</v>
      </c>
      <c r="E28" s="19">
        <f t="shared" si="1"/>
        <v>685851259.41999996</v>
      </c>
      <c r="F28" t="b">
        <f t="shared" si="0"/>
        <v>0</v>
      </c>
    </row>
    <row r="29" spans="1:6" x14ac:dyDescent="0.25">
      <c r="A29" s="12" t="s">
        <v>23</v>
      </c>
      <c r="B29" s="15">
        <v>2127</v>
      </c>
      <c r="C29" s="16">
        <v>418783007.98000002</v>
      </c>
      <c r="D29" s="16">
        <v>418783007.98000002</v>
      </c>
      <c r="E29" s="19">
        <f t="shared" si="1"/>
        <v>1104634267.4000001</v>
      </c>
      <c r="F29" t="b">
        <f t="shared" si="0"/>
        <v>0</v>
      </c>
    </row>
    <row r="30" spans="1:6" x14ac:dyDescent="0.25">
      <c r="A30" s="12" t="s">
        <v>28</v>
      </c>
      <c r="B30" s="15">
        <v>4206</v>
      </c>
      <c r="C30" s="16">
        <v>629309069.40999997</v>
      </c>
      <c r="D30" s="16">
        <v>629309069.40999997</v>
      </c>
      <c r="E30" s="19">
        <f t="shared" si="1"/>
        <v>1733943336.8099999</v>
      </c>
      <c r="F30" t="b">
        <f t="shared" si="0"/>
        <v>0</v>
      </c>
    </row>
    <row r="31" spans="1:6" x14ac:dyDescent="0.25">
      <c r="A31" s="13" t="s">
        <v>36</v>
      </c>
      <c r="B31" s="17">
        <v>15415</v>
      </c>
      <c r="C31" s="18">
        <v>1733943336.8099999</v>
      </c>
      <c r="F31" t="b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opLeftCell="A157" workbookViewId="0">
      <selection activeCell="B180" sqref="B180"/>
    </sheetView>
  </sheetViews>
  <sheetFormatPr defaultRowHeight="15" x14ac:dyDescent="0.25"/>
  <cols>
    <col min="1" max="1" width="27" bestFit="1" customWidth="1"/>
    <col min="2" max="2" width="11.7109375" style="8" bestFit="1" customWidth="1"/>
    <col min="3" max="3" width="20" bestFit="1" customWidth="1"/>
  </cols>
  <sheetData>
    <row r="1" spans="1:4" x14ac:dyDescent="0.25">
      <c r="A1" s="2" t="s">
        <v>38</v>
      </c>
      <c r="B1" s="6" t="s">
        <v>0</v>
      </c>
      <c r="C1" s="3" t="s">
        <v>1</v>
      </c>
      <c r="D1" t="s">
        <v>37</v>
      </c>
    </row>
    <row r="2" spans="1:4" x14ac:dyDescent="0.25">
      <c r="A2" s="1" t="s">
        <v>3</v>
      </c>
      <c r="B2" s="7">
        <v>8</v>
      </c>
      <c r="C2" s="4">
        <v>0</v>
      </c>
      <c r="D2" s="1" t="s">
        <v>2</v>
      </c>
    </row>
    <row r="3" spans="1:4" x14ac:dyDescent="0.25">
      <c r="A3" s="1" t="s">
        <v>4</v>
      </c>
      <c r="B3" s="7">
        <v>28</v>
      </c>
      <c r="C3" s="4">
        <v>1106258.1000000001</v>
      </c>
      <c r="D3" s="1" t="s">
        <v>2</v>
      </c>
    </row>
    <row r="4" spans="1:4" x14ac:dyDescent="0.25">
      <c r="A4" s="1" t="s">
        <v>5</v>
      </c>
      <c r="B4" s="7">
        <v>11</v>
      </c>
      <c r="C4" s="4">
        <v>733665.73</v>
      </c>
      <c r="D4" s="1" t="s">
        <v>2</v>
      </c>
    </row>
    <row r="5" spans="1:4" x14ac:dyDescent="0.25">
      <c r="A5" s="1" t="s">
        <v>6</v>
      </c>
      <c r="B5" s="7">
        <v>37</v>
      </c>
      <c r="C5" s="4">
        <v>3875252.5</v>
      </c>
      <c r="D5" s="1" t="s">
        <v>2</v>
      </c>
    </row>
    <row r="6" spans="1:4" x14ac:dyDescent="0.25">
      <c r="A6" s="1" t="s">
        <v>7</v>
      </c>
      <c r="B6" s="7">
        <v>149</v>
      </c>
      <c r="C6" s="4">
        <v>7161377.4900000002</v>
      </c>
      <c r="D6" s="1" t="s">
        <v>2</v>
      </c>
    </row>
    <row r="7" spans="1:4" x14ac:dyDescent="0.25">
      <c r="A7" s="1" t="s">
        <v>8</v>
      </c>
      <c r="B7" s="7">
        <v>107</v>
      </c>
      <c r="C7" s="4">
        <v>4648310.72</v>
      </c>
      <c r="D7" s="1" t="s">
        <v>2</v>
      </c>
    </row>
    <row r="8" spans="1:4" x14ac:dyDescent="0.25">
      <c r="A8" s="1" t="s">
        <v>9</v>
      </c>
      <c r="B8" s="7">
        <v>70</v>
      </c>
      <c r="C8" s="4">
        <v>13543344.67</v>
      </c>
      <c r="D8" s="1" t="s">
        <v>2</v>
      </c>
    </row>
    <row r="9" spans="1:4" x14ac:dyDescent="0.25">
      <c r="A9" s="1" t="s">
        <v>10</v>
      </c>
      <c r="B9" s="7">
        <v>69</v>
      </c>
      <c r="C9" s="4">
        <v>3687438.95</v>
      </c>
      <c r="D9" s="1" t="s">
        <v>2</v>
      </c>
    </row>
    <row r="10" spans="1:4" x14ac:dyDescent="0.25">
      <c r="A10" s="1" t="s">
        <v>11</v>
      </c>
      <c r="B10" s="7">
        <v>66</v>
      </c>
      <c r="C10" s="4">
        <v>2560547.66</v>
      </c>
      <c r="D10" s="1" t="s">
        <v>2</v>
      </c>
    </row>
    <row r="11" spans="1:4" x14ac:dyDescent="0.25">
      <c r="A11" s="1" t="s">
        <v>12</v>
      </c>
      <c r="B11" s="7">
        <v>75</v>
      </c>
      <c r="C11" s="4">
        <v>2680886</v>
      </c>
      <c r="D11" s="1" t="s">
        <v>2</v>
      </c>
    </row>
    <row r="12" spans="1:4" x14ac:dyDescent="0.25">
      <c r="A12" s="1" t="s">
        <v>13</v>
      </c>
      <c r="B12" s="7">
        <v>21</v>
      </c>
      <c r="C12" s="4">
        <v>975385.93</v>
      </c>
      <c r="D12" s="1" t="s">
        <v>2</v>
      </c>
    </row>
    <row r="13" spans="1:4" x14ac:dyDescent="0.25">
      <c r="A13" s="1" t="s">
        <v>14</v>
      </c>
      <c r="B13" s="7">
        <v>20</v>
      </c>
      <c r="C13" s="4">
        <v>280810.48</v>
      </c>
      <c r="D13" s="1" t="s">
        <v>2</v>
      </c>
    </row>
    <row r="14" spans="1:4" x14ac:dyDescent="0.25">
      <c r="A14" s="1" t="s">
        <v>15</v>
      </c>
      <c r="B14" s="7">
        <v>496</v>
      </c>
      <c r="C14" s="4">
        <v>42017120.289999999</v>
      </c>
      <c r="D14" s="1" t="s">
        <v>2</v>
      </c>
    </row>
    <row r="15" spans="1:4" x14ac:dyDescent="0.25">
      <c r="A15" s="1" t="s">
        <v>16</v>
      </c>
      <c r="B15" s="7">
        <v>261</v>
      </c>
      <c r="C15" s="4">
        <v>35979175.450000003</v>
      </c>
      <c r="D15" s="1" t="s">
        <v>2</v>
      </c>
    </row>
    <row r="16" spans="1:4" x14ac:dyDescent="0.25">
      <c r="A16" s="1" t="s">
        <v>17</v>
      </c>
      <c r="B16" s="7">
        <v>30</v>
      </c>
      <c r="C16" s="4">
        <v>1815032</v>
      </c>
      <c r="D16" s="1" t="s">
        <v>2</v>
      </c>
    </row>
    <row r="17" spans="1:4" x14ac:dyDescent="0.25">
      <c r="A17" s="1" t="s">
        <v>18</v>
      </c>
      <c r="B17" s="7">
        <v>47</v>
      </c>
      <c r="C17" s="4">
        <v>4035701.93</v>
      </c>
      <c r="D17" s="1" t="s">
        <v>2</v>
      </c>
    </row>
    <row r="18" spans="1:4" x14ac:dyDescent="0.25">
      <c r="A18" s="1" t="s">
        <v>19</v>
      </c>
      <c r="B18" s="7">
        <v>102</v>
      </c>
      <c r="C18" s="4">
        <v>11037284.699999999</v>
      </c>
      <c r="D18" s="1" t="s">
        <v>2</v>
      </c>
    </row>
    <row r="19" spans="1:4" x14ac:dyDescent="0.25">
      <c r="A19" s="1" t="s">
        <v>20</v>
      </c>
      <c r="B19" s="7">
        <v>42</v>
      </c>
      <c r="C19" s="4">
        <v>1212681</v>
      </c>
      <c r="D19" s="1" t="s">
        <v>2</v>
      </c>
    </row>
    <row r="20" spans="1:4" x14ac:dyDescent="0.25">
      <c r="A20" s="1" t="s">
        <v>21</v>
      </c>
      <c r="B20" s="7">
        <v>37</v>
      </c>
      <c r="C20" s="4">
        <v>1514113.33</v>
      </c>
      <c r="D20" s="1" t="s">
        <v>2</v>
      </c>
    </row>
    <row r="21" spans="1:4" x14ac:dyDescent="0.25">
      <c r="A21" s="1" t="s">
        <v>22</v>
      </c>
      <c r="B21" s="7">
        <v>310</v>
      </c>
      <c r="C21" s="4">
        <v>32453293.34</v>
      </c>
      <c r="D21" s="1" t="s">
        <v>2</v>
      </c>
    </row>
    <row r="22" spans="1:4" x14ac:dyDescent="0.25">
      <c r="A22" s="1" t="s">
        <v>23</v>
      </c>
      <c r="B22" s="7">
        <v>701</v>
      </c>
      <c r="C22" s="4">
        <v>109717682.18000001</v>
      </c>
      <c r="D22" s="1" t="s">
        <v>2</v>
      </c>
    </row>
    <row r="23" spans="1:4" x14ac:dyDescent="0.25">
      <c r="A23" s="1" t="s">
        <v>24</v>
      </c>
      <c r="B23" s="7">
        <v>9</v>
      </c>
      <c r="C23" s="4">
        <v>396762.5</v>
      </c>
      <c r="D23" s="1" t="s">
        <v>2</v>
      </c>
    </row>
    <row r="24" spans="1:4" x14ac:dyDescent="0.25">
      <c r="A24" s="1" t="s">
        <v>25</v>
      </c>
      <c r="B24" s="7">
        <v>5</v>
      </c>
      <c r="C24" s="4">
        <v>720000</v>
      </c>
      <c r="D24" s="1" t="s">
        <v>2</v>
      </c>
    </row>
    <row r="25" spans="1:4" x14ac:dyDescent="0.25">
      <c r="A25" s="1" t="s">
        <v>26</v>
      </c>
      <c r="B25" s="7">
        <v>263</v>
      </c>
      <c r="C25" s="4">
        <v>24168674.129999999</v>
      </c>
      <c r="D25" s="1" t="s">
        <v>2</v>
      </c>
    </row>
    <row r="26" spans="1:4" x14ac:dyDescent="0.25">
      <c r="A26" s="1" t="s">
        <v>27</v>
      </c>
      <c r="B26" s="7">
        <v>11</v>
      </c>
      <c r="C26" s="4">
        <v>796000</v>
      </c>
      <c r="D26" s="1" t="s">
        <v>2</v>
      </c>
    </row>
    <row r="27" spans="1:4" x14ac:dyDescent="0.25">
      <c r="A27" s="1" t="s">
        <v>28</v>
      </c>
      <c r="B27" s="7">
        <v>1233</v>
      </c>
      <c r="C27" s="4">
        <v>174062865.59</v>
      </c>
      <c r="D27" s="1" t="s">
        <v>2</v>
      </c>
    </row>
    <row r="28" spans="1:4" x14ac:dyDescent="0.25">
      <c r="A28" s="1" t="s">
        <v>29</v>
      </c>
      <c r="B28" s="7">
        <v>12</v>
      </c>
      <c r="C28" s="4">
        <v>0</v>
      </c>
      <c r="D28" s="1" t="s">
        <v>2</v>
      </c>
    </row>
    <row r="29" spans="1:4" x14ac:dyDescent="0.25">
      <c r="A29" s="1" t="s">
        <v>3</v>
      </c>
      <c r="B29" s="7">
        <v>6</v>
      </c>
      <c r="C29" s="4">
        <v>0</v>
      </c>
      <c r="D29" s="1" t="s">
        <v>30</v>
      </c>
    </row>
    <row r="30" spans="1:4" x14ac:dyDescent="0.25">
      <c r="A30" s="1" t="s">
        <v>4</v>
      </c>
      <c r="B30" s="7">
        <v>14</v>
      </c>
      <c r="C30" s="4">
        <v>598300.56000000006</v>
      </c>
      <c r="D30" s="1" t="s">
        <v>30</v>
      </c>
    </row>
    <row r="31" spans="1:4" x14ac:dyDescent="0.25">
      <c r="A31" s="1" t="s">
        <v>5</v>
      </c>
      <c r="B31" s="7">
        <v>7</v>
      </c>
      <c r="C31" s="4">
        <v>640000</v>
      </c>
      <c r="D31" s="1" t="s">
        <v>30</v>
      </c>
    </row>
    <row r="32" spans="1:4" x14ac:dyDescent="0.25">
      <c r="A32" s="1" t="s">
        <v>6</v>
      </c>
      <c r="B32" s="7">
        <v>15</v>
      </c>
      <c r="C32" s="4">
        <v>0</v>
      </c>
      <c r="D32" s="1" t="s">
        <v>30</v>
      </c>
    </row>
    <row r="33" spans="1:4" x14ac:dyDescent="0.25">
      <c r="A33" s="1" t="s">
        <v>7</v>
      </c>
      <c r="B33" s="7">
        <v>67</v>
      </c>
      <c r="C33" s="4">
        <v>2067186</v>
      </c>
      <c r="D33" s="1" t="s">
        <v>30</v>
      </c>
    </row>
    <row r="34" spans="1:4" x14ac:dyDescent="0.25">
      <c r="A34" s="1" t="s">
        <v>8</v>
      </c>
      <c r="B34" s="7">
        <v>41</v>
      </c>
      <c r="C34" s="4">
        <v>1738110.98</v>
      </c>
      <c r="D34" s="1" t="s">
        <v>30</v>
      </c>
    </row>
    <row r="35" spans="1:4" x14ac:dyDescent="0.25">
      <c r="A35" s="1" t="s">
        <v>9</v>
      </c>
      <c r="B35" s="7">
        <v>65</v>
      </c>
      <c r="C35" s="4">
        <v>6668645.7699999996</v>
      </c>
      <c r="D35" s="1" t="s">
        <v>30</v>
      </c>
    </row>
    <row r="36" spans="1:4" x14ac:dyDescent="0.25">
      <c r="A36" s="1" t="s">
        <v>10</v>
      </c>
      <c r="B36" s="7">
        <v>54</v>
      </c>
      <c r="C36" s="4">
        <v>2953980.18</v>
      </c>
      <c r="D36" s="1" t="s">
        <v>30</v>
      </c>
    </row>
    <row r="37" spans="1:4" x14ac:dyDescent="0.25">
      <c r="A37" s="1" t="s">
        <v>11</v>
      </c>
      <c r="B37" s="7">
        <v>21</v>
      </c>
      <c r="C37" s="4">
        <v>384642.3</v>
      </c>
      <c r="D37" s="1" t="s">
        <v>30</v>
      </c>
    </row>
    <row r="38" spans="1:4" x14ac:dyDescent="0.25">
      <c r="A38" s="1" t="s">
        <v>12</v>
      </c>
      <c r="B38" s="7">
        <v>26</v>
      </c>
      <c r="C38" s="4">
        <v>1020000</v>
      </c>
      <c r="D38" s="1" t="s">
        <v>30</v>
      </c>
    </row>
    <row r="39" spans="1:4" x14ac:dyDescent="0.25">
      <c r="A39" s="1" t="s">
        <v>13</v>
      </c>
      <c r="B39" s="7">
        <v>10</v>
      </c>
      <c r="C39" s="4">
        <v>160000</v>
      </c>
      <c r="D39" s="1" t="s">
        <v>30</v>
      </c>
    </row>
    <row r="40" spans="1:4" x14ac:dyDescent="0.25">
      <c r="A40" s="1" t="s">
        <v>14</v>
      </c>
      <c r="B40" s="7">
        <v>3</v>
      </c>
      <c r="C40" s="4">
        <v>0</v>
      </c>
      <c r="D40" s="1" t="s">
        <v>30</v>
      </c>
    </row>
    <row r="41" spans="1:4" x14ac:dyDescent="0.25">
      <c r="A41" s="1" t="s">
        <v>15</v>
      </c>
      <c r="B41" s="7">
        <v>204</v>
      </c>
      <c r="C41" s="4">
        <v>35727445.299999997</v>
      </c>
      <c r="D41" s="1" t="s">
        <v>30</v>
      </c>
    </row>
    <row r="42" spans="1:4" x14ac:dyDescent="0.25">
      <c r="A42" s="1" t="s">
        <v>16</v>
      </c>
      <c r="B42" s="7">
        <v>117</v>
      </c>
      <c r="C42" s="4">
        <v>5612104.29</v>
      </c>
      <c r="D42" s="1" t="s">
        <v>30</v>
      </c>
    </row>
    <row r="43" spans="1:4" x14ac:dyDescent="0.25">
      <c r="A43" s="1" t="s">
        <v>17</v>
      </c>
      <c r="B43" s="7">
        <v>10</v>
      </c>
      <c r="C43" s="4">
        <v>902959.2</v>
      </c>
      <c r="D43" s="1" t="s">
        <v>30</v>
      </c>
    </row>
    <row r="44" spans="1:4" x14ac:dyDescent="0.25">
      <c r="A44" s="1" t="s">
        <v>18</v>
      </c>
      <c r="B44" s="7">
        <v>33</v>
      </c>
      <c r="C44" s="4">
        <v>1799772.09</v>
      </c>
      <c r="D44" s="1" t="s">
        <v>30</v>
      </c>
    </row>
    <row r="45" spans="1:4" x14ac:dyDescent="0.25">
      <c r="A45" s="1" t="s">
        <v>19</v>
      </c>
      <c r="B45" s="7">
        <v>43</v>
      </c>
      <c r="C45" s="4">
        <v>807092.31</v>
      </c>
      <c r="D45" s="1" t="s">
        <v>30</v>
      </c>
    </row>
    <row r="46" spans="1:4" x14ac:dyDescent="0.25">
      <c r="A46" s="1" t="s">
        <v>20</v>
      </c>
      <c r="B46" s="7">
        <v>12</v>
      </c>
      <c r="C46" s="4">
        <v>200000</v>
      </c>
      <c r="D46" s="1" t="s">
        <v>30</v>
      </c>
    </row>
    <row r="47" spans="1:4" x14ac:dyDescent="0.25">
      <c r="A47" s="1" t="s">
        <v>21</v>
      </c>
      <c r="B47" s="7">
        <v>11</v>
      </c>
      <c r="C47" s="4">
        <v>61600</v>
      </c>
      <c r="D47" s="1" t="s">
        <v>30</v>
      </c>
    </row>
    <row r="48" spans="1:4" x14ac:dyDescent="0.25">
      <c r="A48" s="1" t="s">
        <v>22</v>
      </c>
      <c r="B48" s="7">
        <v>87</v>
      </c>
      <c r="C48" s="4">
        <v>12007822.26</v>
      </c>
      <c r="D48" s="1" t="s">
        <v>30</v>
      </c>
    </row>
    <row r="49" spans="1:4" x14ac:dyDescent="0.25">
      <c r="A49" s="1" t="s">
        <v>23</v>
      </c>
      <c r="B49" s="7">
        <v>280</v>
      </c>
      <c r="C49" s="4">
        <v>48238794.759999998</v>
      </c>
      <c r="D49" s="1" t="s">
        <v>30</v>
      </c>
    </row>
    <row r="50" spans="1:4" x14ac:dyDescent="0.25">
      <c r="A50" s="1" t="s">
        <v>24</v>
      </c>
      <c r="B50" s="7">
        <v>3</v>
      </c>
      <c r="C50" s="4">
        <v>199992</v>
      </c>
      <c r="D50" s="1" t="s">
        <v>30</v>
      </c>
    </row>
    <row r="51" spans="1:4" x14ac:dyDescent="0.25">
      <c r="A51" s="1" t="s">
        <v>26</v>
      </c>
      <c r="B51" s="7">
        <v>80</v>
      </c>
      <c r="C51" s="4">
        <v>6811581.29</v>
      </c>
      <c r="D51" s="1" t="s">
        <v>30</v>
      </c>
    </row>
    <row r="52" spans="1:4" x14ac:dyDescent="0.25">
      <c r="A52" s="1" t="s">
        <v>27</v>
      </c>
      <c r="B52" s="7">
        <v>4</v>
      </c>
      <c r="C52" s="4">
        <v>0</v>
      </c>
      <c r="D52" s="1" t="s">
        <v>30</v>
      </c>
    </row>
    <row r="53" spans="1:4" x14ac:dyDescent="0.25">
      <c r="A53" s="1" t="s">
        <v>28</v>
      </c>
      <c r="B53" s="7">
        <v>675</v>
      </c>
      <c r="C53" s="4">
        <v>112255193.73</v>
      </c>
      <c r="D53" s="1" t="s">
        <v>30</v>
      </c>
    </row>
    <row r="54" spans="1:4" x14ac:dyDescent="0.25">
      <c r="A54" s="1" t="s">
        <v>29</v>
      </c>
      <c r="B54" s="7">
        <v>6</v>
      </c>
      <c r="C54" s="4">
        <v>342290</v>
      </c>
      <c r="D54" s="1" t="s">
        <v>30</v>
      </c>
    </row>
    <row r="55" spans="1:4" x14ac:dyDescent="0.25">
      <c r="A55" s="1" t="s">
        <v>3</v>
      </c>
      <c r="B55" s="7">
        <v>7</v>
      </c>
      <c r="C55" s="4">
        <v>480000</v>
      </c>
      <c r="D55" s="1" t="s">
        <v>31</v>
      </c>
    </row>
    <row r="56" spans="1:4" x14ac:dyDescent="0.25">
      <c r="A56" s="1" t="s">
        <v>4</v>
      </c>
      <c r="B56" s="7">
        <v>13</v>
      </c>
      <c r="C56" s="4">
        <v>447235</v>
      </c>
      <c r="D56" s="1" t="s">
        <v>31</v>
      </c>
    </row>
    <row r="57" spans="1:4" x14ac:dyDescent="0.25">
      <c r="A57" s="1" t="s">
        <v>5</v>
      </c>
      <c r="B57" s="7">
        <v>6</v>
      </c>
      <c r="C57" s="4">
        <v>0</v>
      </c>
      <c r="D57" s="1" t="s">
        <v>31</v>
      </c>
    </row>
    <row r="58" spans="1:4" x14ac:dyDescent="0.25">
      <c r="A58" s="1" t="s">
        <v>6</v>
      </c>
      <c r="B58" s="7">
        <v>24</v>
      </c>
      <c r="C58" s="4">
        <v>257140</v>
      </c>
      <c r="D58" s="1" t="s">
        <v>31</v>
      </c>
    </row>
    <row r="59" spans="1:4" x14ac:dyDescent="0.25">
      <c r="A59" s="1" t="s">
        <v>7</v>
      </c>
      <c r="B59" s="7">
        <v>68</v>
      </c>
      <c r="C59" s="4">
        <v>729844.01</v>
      </c>
      <c r="D59" s="1" t="s">
        <v>31</v>
      </c>
    </row>
    <row r="60" spans="1:4" x14ac:dyDescent="0.25">
      <c r="A60" s="1" t="s">
        <v>8</v>
      </c>
      <c r="B60" s="7">
        <v>58</v>
      </c>
      <c r="C60" s="4">
        <v>1689500.45</v>
      </c>
      <c r="D60" s="1" t="s">
        <v>31</v>
      </c>
    </row>
    <row r="61" spans="1:4" x14ac:dyDescent="0.25">
      <c r="A61" s="1" t="s">
        <v>9</v>
      </c>
      <c r="B61" s="7">
        <v>43</v>
      </c>
      <c r="C61" s="4">
        <v>2976221.84</v>
      </c>
      <c r="D61" s="1" t="s">
        <v>31</v>
      </c>
    </row>
    <row r="62" spans="1:4" x14ac:dyDescent="0.25">
      <c r="A62" s="1" t="s">
        <v>10</v>
      </c>
      <c r="B62" s="7">
        <v>39</v>
      </c>
      <c r="C62" s="4">
        <v>5262398.28</v>
      </c>
      <c r="D62" s="1" t="s">
        <v>31</v>
      </c>
    </row>
    <row r="63" spans="1:4" x14ac:dyDescent="0.25">
      <c r="A63" s="1" t="s">
        <v>11</v>
      </c>
      <c r="B63" s="7">
        <v>42</v>
      </c>
      <c r="C63" s="4">
        <v>568204.62</v>
      </c>
      <c r="D63" s="1" t="s">
        <v>31</v>
      </c>
    </row>
    <row r="64" spans="1:4" x14ac:dyDescent="0.25">
      <c r="A64" s="1" t="s">
        <v>12</v>
      </c>
      <c r="B64" s="7">
        <v>58</v>
      </c>
      <c r="C64" s="4">
        <v>150000</v>
      </c>
      <c r="D64" s="1" t="s">
        <v>31</v>
      </c>
    </row>
    <row r="65" spans="1:4" x14ac:dyDescent="0.25">
      <c r="A65" s="1" t="s">
        <v>13</v>
      </c>
      <c r="B65" s="7">
        <v>15</v>
      </c>
      <c r="C65" s="4">
        <v>55000</v>
      </c>
      <c r="D65" s="1" t="s">
        <v>31</v>
      </c>
    </row>
    <row r="66" spans="1:4" x14ac:dyDescent="0.25">
      <c r="A66" s="1" t="s">
        <v>14</v>
      </c>
      <c r="B66" s="7">
        <v>12</v>
      </c>
      <c r="C66" s="4">
        <v>3562</v>
      </c>
      <c r="D66" s="1" t="s">
        <v>31</v>
      </c>
    </row>
    <row r="67" spans="1:4" x14ac:dyDescent="0.25">
      <c r="A67" s="1" t="s">
        <v>15</v>
      </c>
      <c r="B67" s="7">
        <v>151</v>
      </c>
      <c r="C67" s="4">
        <v>9401218.8100000005</v>
      </c>
      <c r="D67" s="1" t="s">
        <v>31</v>
      </c>
    </row>
    <row r="68" spans="1:4" x14ac:dyDescent="0.25">
      <c r="A68" s="1" t="s">
        <v>16</v>
      </c>
      <c r="B68" s="7">
        <v>115</v>
      </c>
      <c r="C68" s="4">
        <v>5538274.4699999997</v>
      </c>
      <c r="D68" s="1" t="s">
        <v>31</v>
      </c>
    </row>
    <row r="69" spans="1:4" x14ac:dyDescent="0.25">
      <c r="A69" s="1" t="s">
        <v>17</v>
      </c>
      <c r="B69" s="7">
        <v>22</v>
      </c>
      <c r="C69" s="4">
        <v>199816.5</v>
      </c>
      <c r="D69" s="1" t="s">
        <v>31</v>
      </c>
    </row>
    <row r="70" spans="1:4" x14ac:dyDescent="0.25">
      <c r="A70" s="1" t="s">
        <v>18</v>
      </c>
      <c r="B70" s="7">
        <v>23</v>
      </c>
      <c r="C70" s="4">
        <v>1050000</v>
      </c>
      <c r="D70" s="1" t="s">
        <v>31</v>
      </c>
    </row>
    <row r="71" spans="1:4" x14ac:dyDescent="0.25">
      <c r="A71" s="1" t="s">
        <v>19</v>
      </c>
      <c r="B71" s="7">
        <v>50</v>
      </c>
      <c r="C71" s="4">
        <v>1687133.5</v>
      </c>
      <c r="D71" s="1" t="s">
        <v>31</v>
      </c>
    </row>
    <row r="72" spans="1:4" x14ac:dyDescent="0.25">
      <c r="A72" s="1" t="s">
        <v>20</v>
      </c>
      <c r="B72" s="7">
        <v>12</v>
      </c>
      <c r="C72" s="4">
        <v>0</v>
      </c>
      <c r="D72" s="1" t="s">
        <v>31</v>
      </c>
    </row>
    <row r="73" spans="1:4" x14ac:dyDescent="0.25">
      <c r="A73" s="1" t="s">
        <v>21</v>
      </c>
      <c r="B73" s="7">
        <v>9</v>
      </c>
      <c r="C73" s="4">
        <v>0</v>
      </c>
      <c r="D73" s="1" t="s">
        <v>31</v>
      </c>
    </row>
    <row r="74" spans="1:4" x14ac:dyDescent="0.25">
      <c r="A74" s="1" t="s">
        <v>22</v>
      </c>
      <c r="B74" s="7">
        <v>112</v>
      </c>
      <c r="C74" s="4">
        <v>4761740.5199999996</v>
      </c>
      <c r="D74" s="1" t="s">
        <v>31</v>
      </c>
    </row>
    <row r="75" spans="1:4" x14ac:dyDescent="0.25">
      <c r="A75" s="1" t="s">
        <v>23</v>
      </c>
      <c r="B75" s="7">
        <v>241</v>
      </c>
      <c r="C75" s="4">
        <v>47458550.700000003</v>
      </c>
      <c r="D75" s="1" t="s">
        <v>31</v>
      </c>
    </row>
    <row r="76" spans="1:4" x14ac:dyDescent="0.25">
      <c r="A76" s="1" t="s">
        <v>24</v>
      </c>
      <c r="B76" s="7">
        <v>9</v>
      </c>
      <c r="C76" s="4">
        <v>342792.13</v>
      </c>
      <c r="D76" s="1" t="s">
        <v>31</v>
      </c>
    </row>
    <row r="77" spans="1:4" x14ac:dyDescent="0.25">
      <c r="A77" s="1" t="s">
        <v>25</v>
      </c>
      <c r="B77" s="7">
        <v>2</v>
      </c>
      <c r="C77" s="4">
        <v>199883.44</v>
      </c>
      <c r="D77" s="1" t="s">
        <v>31</v>
      </c>
    </row>
    <row r="78" spans="1:4" x14ac:dyDescent="0.25">
      <c r="A78" s="1" t="s">
        <v>26</v>
      </c>
      <c r="B78" s="7">
        <v>83</v>
      </c>
      <c r="C78" s="4">
        <v>1767398.87</v>
      </c>
      <c r="D78" s="1" t="s">
        <v>31</v>
      </c>
    </row>
    <row r="79" spans="1:4" x14ac:dyDescent="0.25">
      <c r="A79" s="1" t="s">
        <v>27</v>
      </c>
      <c r="B79" s="7">
        <v>13</v>
      </c>
      <c r="C79" s="4">
        <v>584000</v>
      </c>
      <c r="D79" s="1" t="s">
        <v>31</v>
      </c>
    </row>
    <row r="80" spans="1:4" x14ac:dyDescent="0.25">
      <c r="A80" s="1" t="s">
        <v>28</v>
      </c>
      <c r="B80" s="7">
        <v>541</v>
      </c>
      <c r="C80" s="4">
        <v>46813776.369999997</v>
      </c>
      <c r="D80" s="1" t="s">
        <v>31</v>
      </c>
    </row>
    <row r="81" spans="1:4" x14ac:dyDescent="0.25">
      <c r="A81" s="1" t="s">
        <v>29</v>
      </c>
      <c r="B81" s="7">
        <v>3</v>
      </c>
      <c r="C81" s="4">
        <v>399773.34</v>
      </c>
      <c r="D81" s="1" t="s">
        <v>31</v>
      </c>
    </row>
    <row r="82" spans="1:4" x14ac:dyDescent="0.25">
      <c r="A82" s="1" t="s">
        <v>4</v>
      </c>
      <c r="B82" s="7">
        <v>6</v>
      </c>
      <c r="C82" s="4">
        <v>50000</v>
      </c>
      <c r="D82" s="1" t="s">
        <v>32</v>
      </c>
    </row>
    <row r="83" spans="1:4" x14ac:dyDescent="0.25">
      <c r="A83" s="1" t="s">
        <v>5</v>
      </c>
      <c r="B83" s="7">
        <v>4</v>
      </c>
      <c r="C83" s="4">
        <v>199867.5</v>
      </c>
      <c r="D83" s="1" t="s">
        <v>32</v>
      </c>
    </row>
    <row r="84" spans="1:4" x14ac:dyDescent="0.25">
      <c r="A84" s="1" t="s">
        <v>6</v>
      </c>
      <c r="B84" s="7">
        <v>15</v>
      </c>
      <c r="C84" s="4">
        <v>600000</v>
      </c>
      <c r="D84" s="1" t="s">
        <v>32</v>
      </c>
    </row>
    <row r="85" spans="1:4" x14ac:dyDescent="0.25">
      <c r="A85" s="1" t="s">
        <v>7</v>
      </c>
      <c r="B85" s="7">
        <v>97</v>
      </c>
      <c r="C85" s="4">
        <v>3863950.34</v>
      </c>
      <c r="D85" s="1" t="s">
        <v>32</v>
      </c>
    </row>
    <row r="86" spans="1:4" x14ac:dyDescent="0.25">
      <c r="A86" s="1" t="s">
        <v>8</v>
      </c>
      <c r="B86" s="7">
        <v>70</v>
      </c>
      <c r="C86" s="4">
        <v>4156502.21</v>
      </c>
      <c r="D86" s="1" t="s">
        <v>32</v>
      </c>
    </row>
    <row r="87" spans="1:4" x14ac:dyDescent="0.25">
      <c r="A87" s="1" t="s">
        <v>9</v>
      </c>
      <c r="B87" s="7">
        <v>43</v>
      </c>
      <c r="C87" s="4">
        <v>2452416.16</v>
      </c>
      <c r="D87" s="1" t="s">
        <v>32</v>
      </c>
    </row>
    <row r="88" spans="1:4" x14ac:dyDescent="0.25">
      <c r="A88" s="1" t="s">
        <v>10</v>
      </c>
      <c r="B88" s="7">
        <v>40</v>
      </c>
      <c r="C88" s="4">
        <v>2614336.04</v>
      </c>
      <c r="D88" s="1" t="s">
        <v>32</v>
      </c>
    </row>
    <row r="89" spans="1:4" x14ac:dyDescent="0.25">
      <c r="A89" s="1" t="s">
        <v>11</v>
      </c>
      <c r="B89" s="7">
        <v>39</v>
      </c>
      <c r="C89" s="4">
        <v>525901.5</v>
      </c>
      <c r="D89" s="1" t="s">
        <v>32</v>
      </c>
    </row>
    <row r="90" spans="1:4" x14ac:dyDescent="0.25">
      <c r="A90" s="1" t="s">
        <v>12</v>
      </c>
      <c r="B90" s="7">
        <v>37</v>
      </c>
      <c r="C90" s="4">
        <v>200000</v>
      </c>
      <c r="D90" s="1" t="s">
        <v>32</v>
      </c>
    </row>
    <row r="91" spans="1:4" x14ac:dyDescent="0.25">
      <c r="A91" s="1" t="s">
        <v>13</v>
      </c>
      <c r="B91" s="7">
        <v>11</v>
      </c>
      <c r="C91" s="4">
        <v>216532.72</v>
      </c>
      <c r="D91" s="1" t="s">
        <v>32</v>
      </c>
    </row>
    <row r="92" spans="1:4" x14ac:dyDescent="0.25">
      <c r="A92" s="1" t="s">
        <v>14</v>
      </c>
      <c r="B92" s="7">
        <v>14</v>
      </c>
      <c r="C92" s="4">
        <v>429561.59999999998</v>
      </c>
      <c r="D92" s="1" t="s">
        <v>32</v>
      </c>
    </row>
    <row r="93" spans="1:4" x14ac:dyDescent="0.25">
      <c r="A93" s="1" t="s">
        <v>15</v>
      </c>
      <c r="B93" s="7">
        <v>283</v>
      </c>
      <c r="C93" s="4">
        <v>15329203.41</v>
      </c>
      <c r="D93" s="1" t="s">
        <v>32</v>
      </c>
    </row>
    <row r="94" spans="1:4" x14ac:dyDescent="0.25">
      <c r="A94" s="1" t="s">
        <v>16</v>
      </c>
      <c r="B94" s="7">
        <v>143</v>
      </c>
      <c r="C94" s="4">
        <v>3551005.29</v>
      </c>
      <c r="D94" s="1" t="s">
        <v>32</v>
      </c>
    </row>
    <row r="95" spans="1:4" x14ac:dyDescent="0.25">
      <c r="A95" s="1" t="s">
        <v>17</v>
      </c>
      <c r="B95" s="7">
        <v>16</v>
      </c>
      <c r="C95" s="4">
        <v>318375</v>
      </c>
      <c r="D95" s="1" t="s">
        <v>32</v>
      </c>
    </row>
    <row r="96" spans="1:4" x14ac:dyDescent="0.25">
      <c r="A96" s="1" t="s">
        <v>18</v>
      </c>
      <c r="B96" s="7">
        <v>25</v>
      </c>
      <c r="C96" s="4">
        <v>0</v>
      </c>
      <c r="D96" s="1" t="s">
        <v>32</v>
      </c>
    </row>
    <row r="97" spans="1:4" x14ac:dyDescent="0.25">
      <c r="A97" s="1" t="s">
        <v>19</v>
      </c>
      <c r="B97" s="7">
        <v>53</v>
      </c>
      <c r="C97" s="4">
        <v>1260309.18</v>
      </c>
      <c r="D97" s="1" t="s">
        <v>32</v>
      </c>
    </row>
    <row r="98" spans="1:4" x14ac:dyDescent="0.25">
      <c r="A98" s="1" t="s">
        <v>20</v>
      </c>
      <c r="B98" s="7">
        <v>19</v>
      </c>
      <c r="C98" s="4">
        <v>23000</v>
      </c>
      <c r="D98" s="1" t="s">
        <v>32</v>
      </c>
    </row>
    <row r="99" spans="1:4" x14ac:dyDescent="0.25">
      <c r="A99" s="1" t="s">
        <v>21</v>
      </c>
      <c r="B99" s="7">
        <v>16</v>
      </c>
      <c r="C99" s="4">
        <v>0</v>
      </c>
      <c r="D99" s="1" t="s">
        <v>32</v>
      </c>
    </row>
    <row r="100" spans="1:4" x14ac:dyDescent="0.25">
      <c r="A100" s="1" t="s">
        <v>22</v>
      </c>
      <c r="B100" s="7">
        <v>161</v>
      </c>
      <c r="C100" s="4">
        <v>5673577.5499999998</v>
      </c>
      <c r="D100" s="1" t="s">
        <v>32</v>
      </c>
    </row>
    <row r="101" spans="1:4" x14ac:dyDescent="0.25">
      <c r="A101" s="1" t="s">
        <v>23</v>
      </c>
      <c r="B101" s="7">
        <v>303</v>
      </c>
      <c r="C101" s="4">
        <v>18442585.670000002</v>
      </c>
      <c r="D101" s="1" t="s">
        <v>32</v>
      </c>
    </row>
    <row r="102" spans="1:4" x14ac:dyDescent="0.25">
      <c r="A102" s="1" t="s">
        <v>24</v>
      </c>
      <c r="B102" s="7">
        <v>2</v>
      </c>
      <c r="C102" s="4">
        <v>1903258.05</v>
      </c>
      <c r="D102" s="1" t="s">
        <v>32</v>
      </c>
    </row>
    <row r="103" spans="1:4" x14ac:dyDescent="0.25">
      <c r="A103" s="1" t="s">
        <v>26</v>
      </c>
      <c r="B103" s="7">
        <v>125</v>
      </c>
      <c r="C103" s="4">
        <v>3420316.84</v>
      </c>
      <c r="D103" s="1" t="s">
        <v>32</v>
      </c>
    </row>
    <row r="104" spans="1:4" x14ac:dyDescent="0.25">
      <c r="A104" s="1" t="s">
        <v>27</v>
      </c>
      <c r="B104" s="7">
        <v>3</v>
      </c>
      <c r="C104" s="4">
        <v>0</v>
      </c>
      <c r="D104" s="1" t="s">
        <v>32</v>
      </c>
    </row>
    <row r="105" spans="1:4" x14ac:dyDescent="0.25">
      <c r="A105" s="1" t="s">
        <v>28</v>
      </c>
      <c r="B105" s="7">
        <v>717</v>
      </c>
      <c r="C105" s="4">
        <v>75479055.719999999</v>
      </c>
      <c r="D105" s="1" t="s">
        <v>32</v>
      </c>
    </row>
    <row r="106" spans="1:4" x14ac:dyDescent="0.25">
      <c r="A106" s="1" t="s">
        <v>29</v>
      </c>
      <c r="B106" s="7">
        <v>8</v>
      </c>
      <c r="C106" s="4">
        <v>183529</v>
      </c>
      <c r="D106" s="1" t="s">
        <v>32</v>
      </c>
    </row>
    <row r="107" spans="1:4" x14ac:dyDescent="0.25">
      <c r="A107" s="1" t="s">
        <v>6</v>
      </c>
      <c r="B107" s="7">
        <v>2</v>
      </c>
      <c r="C107" s="4">
        <v>0</v>
      </c>
      <c r="D107" s="1" t="s">
        <v>33</v>
      </c>
    </row>
    <row r="108" spans="1:4" x14ac:dyDescent="0.25">
      <c r="A108" s="1" t="s">
        <v>7</v>
      </c>
      <c r="B108" s="7">
        <v>2</v>
      </c>
      <c r="C108" s="4">
        <v>0</v>
      </c>
      <c r="D108" s="1" t="s">
        <v>33</v>
      </c>
    </row>
    <row r="109" spans="1:4" x14ac:dyDescent="0.25">
      <c r="A109" s="1" t="s">
        <v>8</v>
      </c>
      <c r="B109" s="7">
        <v>7</v>
      </c>
      <c r="C109" s="4">
        <v>1332268</v>
      </c>
      <c r="D109" s="1" t="s">
        <v>33</v>
      </c>
    </row>
    <row r="110" spans="1:4" x14ac:dyDescent="0.25">
      <c r="A110" s="1" t="s">
        <v>9</v>
      </c>
      <c r="B110" s="7">
        <v>9</v>
      </c>
      <c r="C110" s="4">
        <v>5286500</v>
      </c>
      <c r="D110" s="1" t="s">
        <v>33</v>
      </c>
    </row>
    <row r="111" spans="1:4" x14ac:dyDescent="0.25">
      <c r="A111" s="1" t="s">
        <v>10</v>
      </c>
      <c r="B111" s="7">
        <v>4</v>
      </c>
      <c r="C111" s="4">
        <v>5127392.96</v>
      </c>
      <c r="D111" s="1" t="s">
        <v>33</v>
      </c>
    </row>
    <row r="112" spans="1:4" x14ac:dyDescent="0.25">
      <c r="A112" s="1" t="s">
        <v>12</v>
      </c>
      <c r="B112" s="7">
        <v>1</v>
      </c>
      <c r="C112" s="4">
        <v>0</v>
      </c>
      <c r="D112" s="1" t="s">
        <v>33</v>
      </c>
    </row>
    <row r="113" spans="1:4" x14ac:dyDescent="0.25">
      <c r="A113" s="1" t="s">
        <v>13</v>
      </c>
      <c r="B113" s="7">
        <v>1</v>
      </c>
      <c r="C113" s="4">
        <v>0</v>
      </c>
      <c r="D113" s="1" t="s">
        <v>33</v>
      </c>
    </row>
    <row r="114" spans="1:4" x14ac:dyDescent="0.25">
      <c r="A114" s="1" t="s">
        <v>15</v>
      </c>
      <c r="B114" s="7">
        <v>28</v>
      </c>
      <c r="C114" s="4">
        <v>18684392.93</v>
      </c>
      <c r="D114" s="1" t="s">
        <v>33</v>
      </c>
    </row>
    <row r="115" spans="1:4" x14ac:dyDescent="0.25">
      <c r="A115" s="1" t="s">
        <v>16</v>
      </c>
      <c r="B115" s="7">
        <v>21</v>
      </c>
      <c r="C115" s="4">
        <v>3883138.49</v>
      </c>
      <c r="D115" s="1" t="s">
        <v>33</v>
      </c>
    </row>
    <row r="116" spans="1:4" x14ac:dyDescent="0.25">
      <c r="A116" s="1" t="s">
        <v>17</v>
      </c>
      <c r="B116" s="7">
        <v>2</v>
      </c>
      <c r="C116" s="4">
        <v>0</v>
      </c>
      <c r="D116" s="1" t="s">
        <v>33</v>
      </c>
    </row>
    <row r="117" spans="1:4" x14ac:dyDescent="0.25">
      <c r="A117" s="1" t="s">
        <v>18</v>
      </c>
      <c r="B117" s="7">
        <v>3</v>
      </c>
      <c r="C117" s="4">
        <v>7000000</v>
      </c>
      <c r="D117" s="1" t="s">
        <v>33</v>
      </c>
    </row>
    <row r="118" spans="1:4" x14ac:dyDescent="0.25">
      <c r="A118" s="1" t="s">
        <v>19</v>
      </c>
      <c r="B118" s="7">
        <v>11</v>
      </c>
      <c r="C118" s="4">
        <v>4401507.75</v>
      </c>
      <c r="D118" s="1" t="s">
        <v>33</v>
      </c>
    </row>
    <row r="119" spans="1:4" x14ac:dyDescent="0.25">
      <c r="A119" s="1" t="s">
        <v>20</v>
      </c>
      <c r="B119" s="7">
        <v>1</v>
      </c>
      <c r="C119" s="4">
        <v>0</v>
      </c>
      <c r="D119" s="1" t="s">
        <v>33</v>
      </c>
    </row>
    <row r="120" spans="1:4" x14ac:dyDescent="0.25">
      <c r="A120" s="1" t="s">
        <v>21</v>
      </c>
      <c r="B120" s="7">
        <v>3</v>
      </c>
      <c r="C120" s="4">
        <v>0</v>
      </c>
      <c r="D120" s="1" t="s">
        <v>33</v>
      </c>
    </row>
    <row r="121" spans="1:4" x14ac:dyDescent="0.25">
      <c r="A121" s="1" t="s">
        <v>22</v>
      </c>
      <c r="B121" s="7">
        <v>31</v>
      </c>
      <c r="C121" s="4">
        <v>6028495</v>
      </c>
      <c r="D121" s="1" t="s">
        <v>33</v>
      </c>
    </row>
    <row r="122" spans="1:4" x14ac:dyDescent="0.25">
      <c r="A122" s="1" t="s">
        <v>23</v>
      </c>
      <c r="B122" s="7">
        <v>55</v>
      </c>
      <c r="C122" s="4">
        <v>28148220.18</v>
      </c>
      <c r="D122" s="1" t="s">
        <v>33</v>
      </c>
    </row>
    <row r="123" spans="1:4" x14ac:dyDescent="0.25">
      <c r="A123" s="1" t="s">
        <v>26</v>
      </c>
      <c r="B123" s="7">
        <v>15</v>
      </c>
      <c r="C123" s="4">
        <v>522301.85</v>
      </c>
      <c r="D123" s="1" t="s">
        <v>33</v>
      </c>
    </row>
    <row r="124" spans="1:4" x14ac:dyDescent="0.25">
      <c r="A124" s="1" t="s">
        <v>27</v>
      </c>
      <c r="B124" s="7">
        <v>1</v>
      </c>
      <c r="C124" s="4">
        <v>817701.94</v>
      </c>
      <c r="D124" s="1" t="s">
        <v>33</v>
      </c>
    </row>
    <row r="125" spans="1:4" x14ac:dyDescent="0.25">
      <c r="A125" s="1" t="s">
        <v>28</v>
      </c>
      <c r="B125" s="7">
        <v>68</v>
      </c>
      <c r="C125" s="4">
        <v>70762256.230000004</v>
      </c>
      <c r="D125" s="1" t="s">
        <v>33</v>
      </c>
    </row>
    <row r="126" spans="1:4" x14ac:dyDescent="0.25">
      <c r="A126" s="1" t="s">
        <v>3</v>
      </c>
      <c r="B126" s="7">
        <v>7</v>
      </c>
      <c r="C126" s="4">
        <v>34870.410000000003</v>
      </c>
      <c r="D126" s="1" t="s">
        <v>34</v>
      </c>
    </row>
    <row r="127" spans="1:4" x14ac:dyDescent="0.25">
      <c r="A127" s="1" t="s">
        <v>4</v>
      </c>
      <c r="B127" s="7">
        <v>33</v>
      </c>
      <c r="C127" s="4">
        <v>835907.45</v>
      </c>
      <c r="D127" s="1" t="s">
        <v>34</v>
      </c>
    </row>
    <row r="128" spans="1:4" x14ac:dyDescent="0.25">
      <c r="A128" s="1" t="s">
        <v>5</v>
      </c>
      <c r="B128" s="7">
        <v>12</v>
      </c>
      <c r="C128" s="4">
        <v>458449.88</v>
      </c>
      <c r="D128" s="1" t="s">
        <v>34</v>
      </c>
    </row>
    <row r="129" spans="1:4" x14ac:dyDescent="0.25">
      <c r="A129" s="1" t="s">
        <v>6</v>
      </c>
      <c r="B129" s="7">
        <v>53</v>
      </c>
      <c r="C129" s="4">
        <v>7689780</v>
      </c>
      <c r="D129" s="1" t="s">
        <v>34</v>
      </c>
    </row>
    <row r="130" spans="1:4" x14ac:dyDescent="0.25">
      <c r="A130" s="1" t="s">
        <v>7</v>
      </c>
      <c r="B130" s="7">
        <v>192</v>
      </c>
      <c r="C130" s="4">
        <v>12817202.01</v>
      </c>
      <c r="D130" s="1" t="s">
        <v>34</v>
      </c>
    </row>
    <row r="131" spans="1:4" x14ac:dyDescent="0.25">
      <c r="A131" s="1" t="s">
        <v>8</v>
      </c>
      <c r="B131" s="7">
        <v>113</v>
      </c>
      <c r="C131" s="4">
        <v>11101280.35</v>
      </c>
      <c r="D131" s="1" t="s">
        <v>34</v>
      </c>
    </row>
    <row r="132" spans="1:4" x14ac:dyDescent="0.25">
      <c r="A132" s="1" t="s">
        <v>9</v>
      </c>
      <c r="B132" s="7">
        <v>128</v>
      </c>
      <c r="C132" s="4">
        <v>24678676.649999999</v>
      </c>
      <c r="D132" s="1" t="s">
        <v>34</v>
      </c>
    </row>
    <row r="133" spans="1:4" x14ac:dyDescent="0.25">
      <c r="A133" s="1" t="s">
        <v>10</v>
      </c>
      <c r="B133" s="7">
        <v>113</v>
      </c>
      <c r="C133" s="4">
        <v>7890870.9100000001</v>
      </c>
      <c r="D133" s="1" t="s">
        <v>34</v>
      </c>
    </row>
    <row r="134" spans="1:4" x14ac:dyDescent="0.25">
      <c r="A134" s="1" t="s">
        <v>11</v>
      </c>
      <c r="B134" s="7">
        <v>123</v>
      </c>
      <c r="C134" s="4">
        <v>3895721.3</v>
      </c>
      <c r="D134" s="1" t="s">
        <v>34</v>
      </c>
    </row>
    <row r="135" spans="1:4" x14ac:dyDescent="0.25">
      <c r="A135" s="1" t="s">
        <v>12</v>
      </c>
      <c r="B135" s="7">
        <v>95</v>
      </c>
      <c r="C135" s="4">
        <v>3018354.48</v>
      </c>
      <c r="D135" s="1" t="s">
        <v>34</v>
      </c>
    </row>
    <row r="136" spans="1:4" x14ac:dyDescent="0.25">
      <c r="A136" s="1" t="s">
        <v>13</v>
      </c>
      <c r="B136" s="7">
        <v>37</v>
      </c>
      <c r="C136" s="4">
        <v>7906699.2800000003</v>
      </c>
      <c r="D136" s="1" t="s">
        <v>34</v>
      </c>
    </row>
    <row r="137" spans="1:4" x14ac:dyDescent="0.25">
      <c r="A137" s="1" t="s">
        <v>14</v>
      </c>
      <c r="B137" s="7">
        <v>28</v>
      </c>
      <c r="C137" s="4">
        <v>1192018.68</v>
      </c>
      <c r="D137" s="1" t="s">
        <v>34</v>
      </c>
    </row>
    <row r="138" spans="1:4" x14ac:dyDescent="0.25">
      <c r="A138" s="1" t="s">
        <v>15</v>
      </c>
      <c r="B138" s="7">
        <v>609</v>
      </c>
      <c r="C138" s="4">
        <v>43561756.829999998</v>
      </c>
      <c r="D138" s="1" t="s">
        <v>34</v>
      </c>
    </row>
    <row r="139" spans="1:4" x14ac:dyDescent="0.25">
      <c r="A139" s="1" t="s">
        <v>16</v>
      </c>
      <c r="B139" s="7">
        <v>286</v>
      </c>
      <c r="C139" s="4">
        <v>31773523.09</v>
      </c>
      <c r="D139" s="1" t="s">
        <v>34</v>
      </c>
    </row>
    <row r="140" spans="1:4" x14ac:dyDescent="0.25">
      <c r="A140" s="1" t="s">
        <v>17</v>
      </c>
      <c r="B140" s="7">
        <v>33</v>
      </c>
      <c r="C140" s="4">
        <v>45000</v>
      </c>
      <c r="D140" s="1" t="s">
        <v>34</v>
      </c>
    </row>
    <row r="141" spans="1:4" x14ac:dyDescent="0.25">
      <c r="A141" s="1" t="s">
        <v>18</v>
      </c>
      <c r="B141" s="7">
        <v>120</v>
      </c>
      <c r="C141" s="4">
        <v>18777619.75</v>
      </c>
      <c r="D141" s="1" t="s">
        <v>34</v>
      </c>
    </row>
    <row r="142" spans="1:4" x14ac:dyDescent="0.25">
      <c r="A142" s="1" t="s">
        <v>19</v>
      </c>
      <c r="B142" s="7">
        <v>143</v>
      </c>
      <c r="C142" s="4">
        <v>8326031.0599999996</v>
      </c>
      <c r="D142" s="1" t="s">
        <v>34</v>
      </c>
    </row>
    <row r="143" spans="1:4" x14ac:dyDescent="0.25">
      <c r="A143" s="1" t="s">
        <v>20</v>
      </c>
      <c r="B143" s="7">
        <v>37</v>
      </c>
      <c r="C143" s="4">
        <v>932905.99</v>
      </c>
      <c r="D143" s="1" t="s">
        <v>34</v>
      </c>
    </row>
    <row r="144" spans="1:4" x14ac:dyDescent="0.25">
      <c r="A144" s="1" t="s">
        <v>21</v>
      </c>
      <c r="B144" s="7">
        <v>57</v>
      </c>
      <c r="C144" s="4">
        <v>2374831.75</v>
      </c>
      <c r="D144" s="1" t="s">
        <v>34</v>
      </c>
    </row>
    <row r="145" spans="1:4" x14ac:dyDescent="0.25">
      <c r="A145" s="1" t="s">
        <v>22</v>
      </c>
      <c r="B145" s="7">
        <v>539</v>
      </c>
      <c r="C145" s="4">
        <v>36184306.159999996</v>
      </c>
      <c r="D145" s="1" t="s">
        <v>34</v>
      </c>
    </row>
    <row r="146" spans="1:4" x14ac:dyDescent="0.25">
      <c r="A146" s="1" t="s">
        <v>23</v>
      </c>
      <c r="B146" s="7">
        <v>486</v>
      </c>
      <c r="C146" s="4">
        <v>151866281.38</v>
      </c>
      <c r="D146" s="1" t="s">
        <v>34</v>
      </c>
    </row>
    <row r="147" spans="1:4" x14ac:dyDescent="0.25">
      <c r="A147" s="1" t="s">
        <v>24</v>
      </c>
      <c r="B147" s="7">
        <v>7</v>
      </c>
      <c r="C147" s="4">
        <v>400000</v>
      </c>
      <c r="D147" s="1" t="s">
        <v>34</v>
      </c>
    </row>
    <row r="148" spans="1:4" x14ac:dyDescent="0.25">
      <c r="A148" s="1" t="s">
        <v>25</v>
      </c>
      <c r="B148" s="7">
        <v>5</v>
      </c>
      <c r="C148" s="4">
        <v>0</v>
      </c>
      <c r="D148" s="1" t="s">
        <v>34</v>
      </c>
    </row>
    <row r="149" spans="1:4" x14ac:dyDescent="0.25">
      <c r="A149" s="1" t="s">
        <v>26</v>
      </c>
      <c r="B149" s="7">
        <v>343</v>
      </c>
      <c r="C149" s="4">
        <v>25155478.949999999</v>
      </c>
      <c r="D149" s="1" t="s">
        <v>34</v>
      </c>
    </row>
    <row r="150" spans="1:4" x14ac:dyDescent="0.25">
      <c r="A150" s="1" t="s">
        <v>27</v>
      </c>
      <c r="B150" s="7">
        <v>23</v>
      </c>
      <c r="C150" s="4">
        <v>1267356.3600000001</v>
      </c>
      <c r="D150" s="1" t="s">
        <v>34</v>
      </c>
    </row>
    <row r="151" spans="1:4" x14ac:dyDescent="0.25">
      <c r="A151" s="1" t="s">
        <v>28</v>
      </c>
      <c r="B151" s="7">
        <v>888</v>
      </c>
      <c r="C151" s="4">
        <v>146031060.27000001</v>
      </c>
      <c r="D151" s="1" t="s">
        <v>34</v>
      </c>
    </row>
    <row r="152" spans="1:4" x14ac:dyDescent="0.25">
      <c r="A152" s="1" t="s">
        <v>29</v>
      </c>
      <c r="B152" s="7">
        <v>11</v>
      </c>
      <c r="C152" s="4">
        <v>395000</v>
      </c>
      <c r="D152" s="1" t="s">
        <v>34</v>
      </c>
    </row>
    <row r="153" spans="1:4" x14ac:dyDescent="0.25">
      <c r="A153" s="1" t="s">
        <v>3</v>
      </c>
      <c r="B153" s="7">
        <v>1</v>
      </c>
      <c r="C153" s="4">
        <v>0</v>
      </c>
      <c r="D153" s="1" t="s">
        <v>35</v>
      </c>
    </row>
    <row r="154" spans="1:4" x14ac:dyDescent="0.25">
      <c r="A154" s="1" t="s">
        <v>4</v>
      </c>
      <c r="B154" s="7">
        <v>8</v>
      </c>
      <c r="C154" s="4">
        <v>247086.97</v>
      </c>
      <c r="D154" s="1" t="s">
        <v>35</v>
      </c>
    </row>
    <row r="155" spans="1:4" x14ac:dyDescent="0.25">
      <c r="A155" s="1" t="s">
        <v>5</v>
      </c>
      <c r="B155" s="7">
        <v>2</v>
      </c>
      <c r="C155" s="4">
        <v>0</v>
      </c>
      <c r="D155" s="1" t="s">
        <v>35</v>
      </c>
    </row>
    <row r="156" spans="1:4" x14ac:dyDescent="0.25">
      <c r="A156" s="1" t="s">
        <v>6</v>
      </c>
      <c r="B156" s="7">
        <v>2</v>
      </c>
      <c r="C156" s="4">
        <v>184342.5</v>
      </c>
      <c r="D156" s="1" t="s">
        <v>35</v>
      </c>
    </row>
    <row r="157" spans="1:4" x14ac:dyDescent="0.25">
      <c r="A157" s="1" t="s">
        <v>7</v>
      </c>
      <c r="B157" s="7">
        <v>39</v>
      </c>
      <c r="C157" s="4">
        <v>865301.42</v>
      </c>
      <c r="D157" s="1" t="s">
        <v>35</v>
      </c>
    </row>
    <row r="158" spans="1:4" x14ac:dyDescent="0.25">
      <c r="A158" s="1" t="s">
        <v>8</v>
      </c>
      <c r="B158" s="7">
        <v>14</v>
      </c>
      <c r="C158" s="4">
        <v>0</v>
      </c>
      <c r="D158" s="1" t="s">
        <v>35</v>
      </c>
    </row>
    <row r="159" spans="1:4" x14ac:dyDescent="0.25">
      <c r="A159" s="1" t="s">
        <v>9</v>
      </c>
      <c r="B159" s="7">
        <v>13</v>
      </c>
      <c r="C159" s="4">
        <v>0</v>
      </c>
      <c r="D159" s="1" t="s">
        <v>35</v>
      </c>
    </row>
    <row r="160" spans="1:4" x14ac:dyDescent="0.25">
      <c r="A160" s="1" t="s">
        <v>10</v>
      </c>
      <c r="B160" s="7">
        <v>13</v>
      </c>
      <c r="C160" s="4">
        <v>0</v>
      </c>
      <c r="D160" s="1" t="s">
        <v>35</v>
      </c>
    </row>
    <row r="161" spans="1:4" x14ac:dyDescent="0.25">
      <c r="A161" s="1" t="s">
        <v>11</v>
      </c>
      <c r="B161" s="7">
        <v>21</v>
      </c>
      <c r="C161" s="4">
        <v>1311341.95</v>
      </c>
      <c r="D161" s="1" t="s">
        <v>35</v>
      </c>
    </row>
    <row r="162" spans="1:4" x14ac:dyDescent="0.25">
      <c r="A162" s="1" t="s">
        <v>12</v>
      </c>
      <c r="B162" s="7">
        <v>13</v>
      </c>
      <c r="C162" s="4">
        <v>0</v>
      </c>
      <c r="D162" s="1" t="s">
        <v>35</v>
      </c>
    </row>
    <row r="163" spans="1:4" x14ac:dyDescent="0.25">
      <c r="A163" s="1" t="s">
        <v>13</v>
      </c>
      <c r="B163" s="7">
        <v>1</v>
      </c>
      <c r="C163" s="4">
        <v>57430.5</v>
      </c>
      <c r="D163" s="1" t="s">
        <v>35</v>
      </c>
    </row>
    <row r="164" spans="1:4" x14ac:dyDescent="0.25">
      <c r="A164" s="1" t="s">
        <v>14</v>
      </c>
      <c r="B164" s="7">
        <v>3</v>
      </c>
      <c r="C164" s="4">
        <v>0</v>
      </c>
      <c r="D164" s="1" t="s">
        <v>35</v>
      </c>
    </row>
    <row r="165" spans="1:4" x14ac:dyDescent="0.25">
      <c r="A165" s="1" t="s">
        <v>15</v>
      </c>
      <c r="B165" s="7">
        <v>84</v>
      </c>
      <c r="C165" s="4">
        <v>12551529.92</v>
      </c>
      <c r="D165" s="1" t="s">
        <v>35</v>
      </c>
    </row>
    <row r="166" spans="1:4" x14ac:dyDescent="0.25">
      <c r="A166" s="1" t="s">
        <v>16</v>
      </c>
      <c r="B166" s="7">
        <v>22</v>
      </c>
      <c r="C166" s="4">
        <v>240165</v>
      </c>
      <c r="D166" s="1" t="s">
        <v>35</v>
      </c>
    </row>
    <row r="167" spans="1:4" x14ac:dyDescent="0.25">
      <c r="A167" s="1" t="s">
        <v>17</v>
      </c>
      <c r="B167" s="7">
        <v>2</v>
      </c>
      <c r="C167" s="4">
        <v>0</v>
      </c>
      <c r="D167" s="1" t="s">
        <v>35</v>
      </c>
    </row>
    <row r="168" spans="1:4" x14ac:dyDescent="0.25">
      <c r="A168" s="1" t="s">
        <v>18</v>
      </c>
      <c r="B168" s="7">
        <v>10</v>
      </c>
      <c r="C168" s="4">
        <v>396269.57</v>
      </c>
      <c r="D168" s="1" t="s">
        <v>35</v>
      </c>
    </row>
    <row r="169" spans="1:4" x14ac:dyDescent="0.25">
      <c r="A169" s="1" t="s">
        <v>19</v>
      </c>
      <c r="B169" s="7">
        <v>24</v>
      </c>
      <c r="C169" s="4">
        <v>175000</v>
      </c>
      <c r="D169" s="1" t="s">
        <v>35</v>
      </c>
    </row>
    <row r="170" spans="1:4" x14ac:dyDescent="0.25">
      <c r="A170" s="1" t="s">
        <v>20</v>
      </c>
      <c r="B170" s="7">
        <v>7</v>
      </c>
      <c r="C170" s="4">
        <v>120224</v>
      </c>
      <c r="D170" s="1" t="s">
        <v>35</v>
      </c>
    </row>
    <row r="171" spans="1:4" x14ac:dyDescent="0.25">
      <c r="A171" s="1" t="s">
        <v>21</v>
      </c>
      <c r="B171" s="7">
        <v>6</v>
      </c>
      <c r="C171" s="4">
        <v>0</v>
      </c>
      <c r="D171" s="1" t="s">
        <v>35</v>
      </c>
    </row>
    <row r="172" spans="1:4" x14ac:dyDescent="0.25">
      <c r="A172" s="1" t="s">
        <v>22</v>
      </c>
      <c r="B172" s="7">
        <v>36</v>
      </c>
      <c r="C172" s="4">
        <v>1536137.26</v>
      </c>
      <c r="D172" s="1" t="s">
        <v>35</v>
      </c>
    </row>
    <row r="173" spans="1:4" x14ac:dyDescent="0.25">
      <c r="A173" s="1" t="s">
        <v>23</v>
      </c>
      <c r="B173" s="7">
        <v>61</v>
      </c>
      <c r="C173" s="4">
        <v>14910893.109999999</v>
      </c>
      <c r="D173" s="1" t="s">
        <v>35</v>
      </c>
    </row>
    <row r="174" spans="1:4" x14ac:dyDescent="0.25">
      <c r="A174" s="1" t="s">
        <v>24</v>
      </c>
      <c r="B174" s="7">
        <v>1</v>
      </c>
      <c r="C174" s="4">
        <v>0</v>
      </c>
      <c r="D174" s="1" t="s">
        <v>35</v>
      </c>
    </row>
    <row r="175" spans="1:4" x14ac:dyDescent="0.25">
      <c r="A175" s="1" t="s">
        <v>26</v>
      </c>
      <c r="B175" s="7">
        <v>18</v>
      </c>
      <c r="C175" s="4">
        <v>544070.97</v>
      </c>
      <c r="D175" s="1" t="s">
        <v>35</v>
      </c>
    </row>
    <row r="176" spans="1:4" x14ac:dyDescent="0.25">
      <c r="A176" s="1" t="s">
        <v>27</v>
      </c>
      <c r="B176" s="7">
        <v>6</v>
      </c>
      <c r="C176" s="4">
        <v>0</v>
      </c>
      <c r="D176" s="1" t="s">
        <v>35</v>
      </c>
    </row>
    <row r="177" spans="1:4" x14ac:dyDescent="0.25">
      <c r="A177" s="1" t="s">
        <v>28</v>
      </c>
      <c r="B177" s="7">
        <v>84</v>
      </c>
      <c r="C177" s="4">
        <v>3904861.5</v>
      </c>
      <c r="D177" s="1" t="s">
        <v>35</v>
      </c>
    </row>
    <row r="178" spans="1:4" x14ac:dyDescent="0.25">
      <c r="A178" s="1" t="s">
        <v>29</v>
      </c>
      <c r="B178" s="7">
        <v>3</v>
      </c>
      <c r="C178" s="4">
        <v>199597.5</v>
      </c>
      <c r="D178" s="1" t="s">
        <v>35</v>
      </c>
    </row>
    <row r="179" spans="1:4" x14ac:dyDescent="0.25">
      <c r="B179" s="8">
        <f>SUM(B2:B178)</f>
        <v>15415</v>
      </c>
      <c r="C179" s="5">
        <f>SUM(C2:C178)</f>
        <v>1733943336.8100004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dinâmica</vt:lpstr>
      <vt:lpstr>Resumo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Fernando Barbalho</cp:lastModifiedBy>
  <dcterms:created xsi:type="dcterms:W3CDTF">2026-05-14T20:31:44Z</dcterms:created>
  <dcterms:modified xsi:type="dcterms:W3CDTF">2026-05-14T22:48:33Z</dcterms:modified>
  <cp:category/>
</cp:coreProperties>
</file>